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323133a1eec1e3/Desktop/日計表/"/>
    </mc:Choice>
  </mc:AlternateContent>
  <xr:revisionPtr revIDLastSave="19" documentId="13_ncr:1_{C669315F-C3B1-4BAC-8E42-DECAFC04307A}" xr6:coauthVersionLast="45" xr6:coauthVersionMax="45" xr10:uidLastSave="{CF4F7C1E-29F4-43D5-AB49-4B089972966E}"/>
  <bookViews>
    <workbookView xWindow="-120" yWindow="-120" windowWidth="20730" windowHeight="11040" firstSheet="3" activeTab="3" xr2:uid="{DA687C41-4F51-4FB4-92A9-C7EA0905ECE6}"/>
  </bookViews>
  <sheets>
    <sheet name="目次" sheetId="38" r:id="rId1"/>
    <sheet name="月データ" sheetId="4" r:id="rId2"/>
    <sheet name="原本" sheetId="138" r:id="rId3"/>
    <sheet name="1" sheetId="106" r:id="rId4"/>
    <sheet name="2" sheetId="107" r:id="rId5"/>
    <sheet name="3" sheetId="108" r:id="rId6"/>
    <sheet name="4" sheetId="109" r:id="rId7"/>
    <sheet name="5" sheetId="110" r:id="rId8"/>
    <sheet name="6" sheetId="111" r:id="rId9"/>
    <sheet name="7" sheetId="112" r:id="rId10"/>
    <sheet name="8" sheetId="114" r:id="rId11"/>
    <sheet name="9" sheetId="115" r:id="rId12"/>
    <sheet name="10" sheetId="116" r:id="rId13"/>
    <sheet name="11" sheetId="117" r:id="rId14"/>
    <sheet name="12" sheetId="118" r:id="rId15"/>
    <sheet name="13" sheetId="119" r:id="rId16"/>
    <sheet name="14" sheetId="120" r:id="rId17"/>
    <sheet name="15" sheetId="121" r:id="rId18"/>
    <sheet name="16" sheetId="122" r:id="rId19"/>
    <sheet name="17" sheetId="123" r:id="rId20"/>
    <sheet name="18" sheetId="124" r:id="rId21"/>
    <sheet name="19" sheetId="125" r:id="rId22"/>
    <sheet name="20" sheetId="126" r:id="rId23"/>
    <sheet name="21" sheetId="127" r:id="rId24"/>
    <sheet name="22" sheetId="128" r:id="rId25"/>
    <sheet name="23" sheetId="129" r:id="rId26"/>
    <sheet name="24" sheetId="130" r:id="rId27"/>
    <sheet name="25" sheetId="131" r:id="rId28"/>
    <sheet name="26" sheetId="132" r:id="rId29"/>
    <sheet name="27" sheetId="133" r:id="rId30"/>
    <sheet name="28" sheetId="134" r:id="rId31"/>
    <sheet name="29" sheetId="135" r:id="rId32"/>
    <sheet name="30" sheetId="136" r:id="rId33"/>
    <sheet name="31" sheetId="137" r:id="rId34"/>
    <sheet name="19 (5)" sheetId="96" state="hidden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5" i="107" l="1"/>
  <c r="R50" i="107" s="1"/>
  <c r="O45" i="108"/>
  <c r="R50" i="108" s="1"/>
  <c r="O45" i="109"/>
  <c r="R50" i="109" s="1"/>
  <c r="O45" i="110"/>
  <c r="R50" i="110" s="1"/>
  <c r="O45" i="111"/>
  <c r="R50" i="111" s="1"/>
  <c r="O45" i="112"/>
  <c r="R50" i="112" s="1"/>
  <c r="O45" i="114"/>
  <c r="R50" i="114" s="1"/>
  <c r="O45" i="115"/>
  <c r="R50" i="115" s="1"/>
  <c r="O45" i="116"/>
  <c r="R50" i="116" s="1"/>
  <c r="O45" i="117"/>
  <c r="R50" i="117" s="1"/>
  <c r="O45" i="118"/>
  <c r="R50" i="118" s="1"/>
  <c r="O45" i="119"/>
  <c r="R50" i="119" s="1"/>
  <c r="O45" i="120"/>
  <c r="R50" i="120" s="1"/>
  <c r="O45" i="121"/>
  <c r="R50" i="121" s="1"/>
  <c r="O45" i="122"/>
  <c r="R50" i="122" s="1"/>
  <c r="O45" i="123"/>
  <c r="R50" i="123" s="1"/>
  <c r="O45" i="124"/>
  <c r="R50" i="124" s="1"/>
  <c r="O45" i="125"/>
  <c r="R50" i="125" s="1"/>
  <c r="O45" i="126"/>
  <c r="R50" i="126" s="1"/>
  <c r="O45" i="127"/>
  <c r="R50" i="127" s="1"/>
  <c r="O45" i="128"/>
  <c r="R50" i="128" s="1"/>
  <c r="O45" i="129"/>
  <c r="R50" i="129" s="1"/>
  <c r="O45" i="130"/>
  <c r="R50" i="130" s="1"/>
  <c r="O45" i="131"/>
  <c r="R50" i="131" s="1"/>
  <c r="O45" i="132"/>
  <c r="R50" i="132" s="1"/>
  <c r="O45" i="133"/>
  <c r="R50" i="133" s="1"/>
  <c r="O45" i="134"/>
  <c r="R50" i="134" s="1"/>
  <c r="O45" i="135"/>
  <c r="R50" i="135" s="1"/>
  <c r="O45" i="136"/>
  <c r="R50" i="136" s="1"/>
  <c r="O45" i="137"/>
  <c r="R50" i="137" s="1"/>
  <c r="O45" i="106"/>
  <c r="R50" i="106" s="1"/>
  <c r="I50" i="138" l="1"/>
  <c r="I51" i="138" s="1"/>
  <c r="U33" i="107" l="1"/>
  <c r="U32" i="107"/>
  <c r="U31" i="107"/>
  <c r="U30" i="107"/>
  <c r="U29" i="107"/>
  <c r="U28" i="107"/>
  <c r="U27" i="107"/>
  <c r="U26" i="107"/>
  <c r="U25" i="107"/>
  <c r="U24" i="107"/>
  <c r="U23" i="107"/>
  <c r="U22" i="107"/>
  <c r="U34" i="107" s="1"/>
  <c r="U33" i="108"/>
  <c r="U32" i="108"/>
  <c r="U31" i="108"/>
  <c r="U30" i="108"/>
  <c r="U29" i="108"/>
  <c r="U28" i="108"/>
  <c r="U27" i="108"/>
  <c r="U26" i="108"/>
  <c r="U25" i="108"/>
  <c r="U24" i="108"/>
  <c r="U23" i="108"/>
  <c r="U22" i="108"/>
  <c r="U33" i="109"/>
  <c r="U32" i="109"/>
  <c r="U31" i="109"/>
  <c r="U30" i="109"/>
  <c r="U29" i="109"/>
  <c r="U28" i="109"/>
  <c r="U27" i="109"/>
  <c r="U26" i="109"/>
  <c r="U25" i="109"/>
  <c r="U24" i="109"/>
  <c r="U23" i="109"/>
  <c r="U22" i="109"/>
  <c r="U34" i="109" s="1"/>
  <c r="U33" i="110"/>
  <c r="U32" i="110"/>
  <c r="U31" i="110"/>
  <c r="U30" i="110"/>
  <c r="U29" i="110"/>
  <c r="U28" i="110"/>
  <c r="U27" i="110"/>
  <c r="U26" i="110"/>
  <c r="U25" i="110"/>
  <c r="U24" i="110"/>
  <c r="U23" i="110"/>
  <c r="U22" i="110"/>
  <c r="U33" i="111"/>
  <c r="U32" i="111"/>
  <c r="U31" i="111"/>
  <c r="U30" i="111"/>
  <c r="U29" i="111"/>
  <c r="U28" i="111"/>
  <c r="U27" i="111"/>
  <c r="U26" i="111"/>
  <c r="U25" i="111"/>
  <c r="U24" i="111"/>
  <c r="U23" i="111"/>
  <c r="U22" i="111"/>
  <c r="U33" i="112"/>
  <c r="U32" i="112"/>
  <c r="U31" i="112"/>
  <c r="U30" i="112"/>
  <c r="U29" i="112"/>
  <c r="U28" i="112"/>
  <c r="U27" i="112"/>
  <c r="U26" i="112"/>
  <c r="U25" i="112"/>
  <c r="U24" i="112"/>
  <c r="U23" i="112"/>
  <c r="U22" i="112"/>
  <c r="U33" i="114"/>
  <c r="U32" i="114"/>
  <c r="U31" i="114"/>
  <c r="U30" i="114"/>
  <c r="U29" i="114"/>
  <c r="U28" i="114"/>
  <c r="U27" i="114"/>
  <c r="U26" i="114"/>
  <c r="U25" i="114"/>
  <c r="U24" i="114"/>
  <c r="U23" i="114"/>
  <c r="U22" i="114"/>
  <c r="U33" i="115"/>
  <c r="U32" i="115"/>
  <c r="U31" i="115"/>
  <c r="U30" i="115"/>
  <c r="U29" i="115"/>
  <c r="U28" i="115"/>
  <c r="U27" i="115"/>
  <c r="U26" i="115"/>
  <c r="U25" i="115"/>
  <c r="U24" i="115"/>
  <c r="U23" i="115"/>
  <c r="U22" i="115"/>
  <c r="U33" i="116"/>
  <c r="U32" i="116"/>
  <c r="U31" i="116"/>
  <c r="U30" i="116"/>
  <c r="U29" i="116"/>
  <c r="U28" i="116"/>
  <c r="U27" i="116"/>
  <c r="U26" i="116"/>
  <c r="U25" i="116"/>
  <c r="U24" i="116"/>
  <c r="U23" i="116"/>
  <c r="U22" i="116"/>
  <c r="U33" i="117"/>
  <c r="U32" i="117"/>
  <c r="U31" i="117"/>
  <c r="U30" i="117"/>
  <c r="U29" i="117"/>
  <c r="U28" i="117"/>
  <c r="U27" i="117"/>
  <c r="U26" i="117"/>
  <c r="U25" i="117"/>
  <c r="U24" i="117"/>
  <c r="U23" i="117"/>
  <c r="U22" i="117"/>
  <c r="U33" i="118"/>
  <c r="U32" i="118"/>
  <c r="U31" i="118"/>
  <c r="U30" i="118"/>
  <c r="U29" i="118"/>
  <c r="U28" i="118"/>
  <c r="U27" i="118"/>
  <c r="U26" i="118"/>
  <c r="U25" i="118"/>
  <c r="U24" i="118"/>
  <c r="U23" i="118"/>
  <c r="U22" i="118"/>
  <c r="U33" i="119"/>
  <c r="U32" i="119"/>
  <c r="U31" i="119"/>
  <c r="U30" i="119"/>
  <c r="U29" i="119"/>
  <c r="U28" i="119"/>
  <c r="U27" i="119"/>
  <c r="U26" i="119"/>
  <c r="U25" i="119"/>
  <c r="U24" i="119"/>
  <c r="U23" i="119"/>
  <c r="U22" i="119"/>
  <c r="U33" i="120"/>
  <c r="U32" i="120"/>
  <c r="U31" i="120"/>
  <c r="U30" i="120"/>
  <c r="U29" i="120"/>
  <c r="U28" i="120"/>
  <c r="U27" i="120"/>
  <c r="U26" i="120"/>
  <c r="U25" i="120"/>
  <c r="U24" i="120"/>
  <c r="U23" i="120"/>
  <c r="U22" i="120"/>
  <c r="U33" i="121"/>
  <c r="U32" i="121"/>
  <c r="U31" i="121"/>
  <c r="U30" i="121"/>
  <c r="U29" i="121"/>
  <c r="U28" i="121"/>
  <c r="U27" i="121"/>
  <c r="U26" i="121"/>
  <c r="U25" i="121"/>
  <c r="U24" i="121"/>
  <c r="U23" i="121"/>
  <c r="U22" i="121"/>
  <c r="U33" i="122"/>
  <c r="U32" i="122"/>
  <c r="U31" i="122"/>
  <c r="U30" i="122"/>
  <c r="U29" i="122"/>
  <c r="U28" i="122"/>
  <c r="U27" i="122"/>
  <c r="U26" i="122"/>
  <c r="U25" i="122"/>
  <c r="U24" i="122"/>
  <c r="U23" i="122"/>
  <c r="U22" i="122"/>
  <c r="U33" i="123"/>
  <c r="U32" i="123"/>
  <c r="U31" i="123"/>
  <c r="U30" i="123"/>
  <c r="U29" i="123"/>
  <c r="U28" i="123"/>
  <c r="U27" i="123"/>
  <c r="U26" i="123"/>
  <c r="U25" i="123"/>
  <c r="U24" i="123"/>
  <c r="U23" i="123"/>
  <c r="U22" i="123"/>
  <c r="U33" i="124"/>
  <c r="U32" i="124"/>
  <c r="U31" i="124"/>
  <c r="U30" i="124"/>
  <c r="U29" i="124"/>
  <c r="U28" i="124"/>
  <c r="U27" i="124"/>
  <c r="U26" i="124"/>
  <c r="U25" i="124"/>
  <c r="U24" i="124"/>
  <c r="U23" i="124"/>
  <c r="U22" i="124"/>
  <c r="U33" i="125"/>
  <c r="U32" i="125"/>
  <c r="U31" i="125"/>
  <c r="U30" i="125"/>
  <c r="U29" i="125"/>
  <c r="U28" i="125"/>
  <c r="U27" i="125"/>
  <c r="U26" i="125"/>
  <c r="U25" i="125"/>
  <c r="U24" i="125"/>
  <c r="U23" i="125"/>
  <c r="U22" i="125"/>
  <c r="U33" i="126"/>
  <c r="U32" i="126"/>
  <c r="U31" i="126"/>
  <c r="U30" i="126"/>
  <c r="U29" i="126"/>
  <c r="U28" i="126"/>
  <c r="U27" i="126"/>
  <c r="U26" i="126"/>
  <c r="U25" i="126"/>
  <c r="U24" i="126"/>
  <c r="U23" i="126"/>
  <c r="U22" i="126"/>
  <c r="U33" i="127"/>
  <c r="U32" i="127"/>
  <c r="U31" i="127"/>
  <c r="U30" i="127"/>
  <c r="U29" i="127"/>
  <c r="U28" i="127"/>
  <c r="U27" i="127"/>
  <c r="U26" i="127"/>
  <c r="U25" i="127"/>
  <c r="U24" i="127"/>
  <c r="U23" i="127"/>
  <c r="U22" i="127"/>
  <c r="U33" i="128"/>
  <c r="U32" i="128"/>
  <c r="U31" i="128"/>
  <c r="U30" i="128"/>
  <c r="U29" i="128"/>
  <c r="U28" i="128"/>
  <c r="U27" i="128"/>
  <c r="U26" i="128"/>
  <c r="U25" i="128"/>
  <c r="U24" i="128"/>
  <c r="U23" i="128"/>
  <c r="U22" i="128"/>
  <c r="U33" i="129"/>
  <c r="U32" i="129"/>
  <c r="U31" i="129"/>
  <c r="U30" i="129"/>
  <c r="U29" i="129"/>
  <c r="U28" i="129"/>
  <c r="U27" i="129"/>
  <c r="U26" i="129"/>
  <c r="U25" i="129"/>
  <c r="U24" i="129"/>
  <c r="U23" i="129"/>
  <c r="U22" i="129"/>
  <c r="U33" i="130"/>
  <c r="U32" i="130"/>
  <c r="U31" i="130"/>
  <c r="U30" i="130"/>
  <c r="U29" i="130"/>
  <c r="U28" i="130"/>
  <c r="U27" i="130"/>
  <c r="U26" i="130"/>
  <c r="U25" i="130"/>
  <c r="U24" i="130"/>
  <c r="U23" i="130"/>
  <c r="U22" i="130"/>
  <c r="U34" i="130" s="1"/>
  <c r="U33" i="131"/>
  <c r="U32" i="131"/>
  <c r="U31" i="131"/>
  <c r="U30" i="131"/>
  <c r="U29" i="131"/>
  <c r="U28" i="131"/>
  <c r="U27" i="131"/>
  <c r="U26" i="131"/>
  <c r="U25" i="131"/>
  <c r="U24" i="131"/>
  <c r="U23" i="131"/>
  <c r="U22" i="131"/>
  <c r="U34" i="131" s="1"/>
  <c r="U33" i="132"/>
  <c r="U32" i="132"/>
  <c r="U31" i="132"/>
  <c r="U30" i="132"/>
  <c r="U29" i="132"/>
  <c r="U28" i="132"/>
  <c r="U27" i="132"/>
  <c r="U26" i="132"/>
  <c r="U25" i="132"/>
  <c r="U24" i="132"/>
  <c r="U23" i="132"/>
  <c r="U22" i="132"/>
  <c r="U34" i="132" s="1"/>
  <c r="U33" i="133"/>
  <c r="U32" i="133"/>
  <c r="U31" i="133"/>
  <c r="U30" i="133"/>
  <c r="U29" i="133"/>
  <c r="U28" i="133"/>
  <c r="U27" i="133"/>
  <c r="U26" i="133"/>
  <c r="U25" i="133"/>
  <c r="U24" i="133"/>
  <c r="U23" i="133"/>
  <c r="U22" i="133"/>
  <c r="U34" i="133" s="1"/>
  <c r="U33" i="134"/>
  <c r="U32" i="134"/>
  <c r="U31" i="134"/>
  <c r="U30" i="134"/>
  <c r="U29" i="134"/>
  <c r="U28" i="134"/>
  <c r="U27" i="134"/>
  <c r="U26" i="134"/>
  <c r="U25" i="134"/>
  <c r="U24" i="134"/>
  <c r="U23" i="134"/>
  <c r="U22" i="134"/>
  <c r="U34" i="134" s="1"/>
  <c r="U33" i="135"/>
  <c r="U32" i="135"/>
  <c r="U31" i="135"/>
  <c r="U30" i="135"/>
  <c r="U29" i="135"/>
  <c r="U28" i="135"/>
  <c r="U27" i="135"/>
  <c r="U26" i="135"/>
  <c r="U25" i="135"/>
  <c r="U24" i="135"/>
  <c r="U23" i="135"/>
  <c r="U22" i="135"/>
  <c r="U34" i="135" s="1"/>
  <c r="U33" i="136"/>
  <c r="U32" i="136"/>
  <c r="U31" i="136"/>
  <c r="U30" i="136"/>
  <c r="U29" i="136"/>
  <c r="U28" i="136"/>
  <c r="U27" i="136"/>
  <c r="U26" i="136"/>
  <c r="U25" i="136"/>
  <c r="U24" i="136"/>
  <c r="U23" i="136"/>
  <c r="U22" i="136"/>
  <c r="U34" i="136" s="1"/>
  <c r="U33" i="137"/>
  <c r="U32" i="137"/>
  <c r="U31" i="137"/>
  <c r="U30" i="137"/>
  <c r="U29" i="137"/>
  <c r="U28" i="137"/>
  <c r="U27" i="137"/>
  <c r="U26" i="137"/>
  <c r="U25" i="137"/>
  <c r="U24" i="137"/>
  <c r="U23" i="137"/>
  <c r="U22" i="137"/>
  <c r="U32" i="106"/>
  <c r="U31" i="106"/>
  <c r="U30" i="106"/>
  <c r="U29" i="106"/>
  <c r="U28" i="106"/>
  <c r="U27" i="106"/>
  <c r="U26" i="106"/>
  <c r="U25" i="106"/>
  <c r="U24" i="106"/>
  <c r="U23" i="106"/>
  <c r="U22" i="106"/>
  <c r="U33" i="106" l="1"/>
  <c r="U34" i="129"/>
  <c r="U34" i="128"/>
  <c r="U34" i="127"/>
  <c r="U34" i="137"/>
  <c r="U34" i="125"/>
  <c r="U34" i="123"/>
  <c r="U34" i="122"/>
  <c r="U34" i="120"/>
  <c r="U34" i="118"/>
  <c r="U34" i="116"/>
  <c r="U34" i="114"/>
  <c r="U34" i="111"/>
  <c r="U34" i="110"/>
  <c r="U34" i="126"/>
  <c r="U34" i="124"/>
  <c r="U34" i="121"/>
  <c r="U34" i="119"/>
  <c r="U34" i="117"/>
  <c r="U34" i="115"/>
  <c r="U34" i="112"/>
  <c r="U34" i="108"/>
  <c r="U34" i="106"/>
  <c r="R40" i="107"/>
  <c r="R40" i="108"/>
  <c r="R40" i="109"/>
  <c r="R40" i="110"/>
  <c r="R40" i="111"/>
  <c r="R40" i="112"/>
  <c r="R40" i="114"/>
  <c r="R40" i="115"/>
  <c r="R40" i="116"/>
  <c r="R40" i="117"/>
  <c r="R40" i="118"/>
  <c r="R40" i="119"/>
  <c r="R40" i="120"/>
  <c r="R40" i="121"/>
  <c r="R40" i="122"/>
  <c r="R40" i="123"/>
  <c r="R40" i="124"/>
  <c r="R40" i="125"/>
  <c r="R40" i="126"/>
  <c r="R40" i="127"/>
  <c r="R40" i="128"/>
  <c r="R40" i="129"/>
  <c r="R40" i="130"/>
  <c r="R40" i="131"/>
  <c r="R40" i="132"/>
  <c r="R40" i="133"/>
  <c r="R40" i="134"/>
  <c r="R40" i="135"/>
  <c r="R40" i="136"/>
  <c r="R40" i="137"/>
  <c r="R40" i="106"/>
  <c r="R39" i="107"/>
  <c r="R39" i="108"/>
  <c r="R39" i="109"/>
  <c r="R39" i="110"/>
  <c r="R39" i="111"/>
  <c r="R39" i="112"/>
  <c r="R39" i="114"/>
  <c r="R39" i="115"/>
  <c r="R39" i="116"/>
  <c r="R39" i="117"/>
  <c r="R39" i="118"/>
  <c r="R39" i="119"/>
  <c r="R39" i="120"/>
  <c r="R39" i="121"/>
  <c r="R39" i="122"/>
  <c r="R39" i="123"/>
  <c r="R39" i="124"/>
  <c r="R39" i="125"/>
  <c r="R39" i="126"/>
  <c r="R39" i="127"/>
  <c r="R39" i="128"/>
  <c r="R39" i="129"/>
  <c r="R39" i="130"/>
  <c r="R39" i="131"/>
  <c r="R39" i="132"/>
  <c r="R39" i="133"/>
  <c r="R39" i="134"/>
  <c r="R39" i="135"/>
  <c r="R39" i="136"/>
  <c r="R39" i="137"/>
  <c r="R39" i="106"/>
  <c r="R48" i="107"/>
  <c r="R48" i="108"/>
  <c r="R48" i="109"/>
  <c r="R48" i="110"/>
  <c r="R48" i="111"/>
  <c r="R48" i="112"/>
  <c r="R48" i="114"/>
  <c r="R48" i="115"/>
  <c r="R48" i="116"/>
  <c r="R48" i="117"/>
  <c r="R48" i="118"/>
  <c r="R48" i="119"/>
  <c r="R48" i="120"/>
  <c r="R48" i="121"/>
  <c r="R48" i="122"/>
  <c r="R48" i="123"/>
  <c r="R48" i="124"/>
  <c r="R48" i="125"/>
  <c r="R48" i="126"/>
  <c r="R48" i="127"/>
  <c r="R48" i="128"/>
  <c r="R48" i="129"/>
  <c r="R48" i="130"/>
  <c r="R48" i="131"/>
  <c r="R48" i="132"/>
  <c r="R48" i="133"/>
  <c r="R48" i="134"/>
  <c r="R48" i="135"/>
  <c r="R48" i="136"/>
  <c r="R48" i="137"/>
  <c r="R48" i="106"/>
  <c r="U43" i="138" l="1"/>
  <c r="W42" i="138"/>
  <c r="V42" i="138"/>
  <c r="I42" i="138"/>
  <c r="V41" i="138"/>
  <c r="I41" i="138"/>
  <c r="V40" i="138"/>
  <c r="U40" i="138" s="1"/>
  <c r="U37" i="138" s="1"/>
  <c r="I40" i="138"/>
  <c r="I39" i="138"/>
  <c r="U38" i="138"/>
  <c r="R38" i="138"/>
  <c r="I38" i="138"/>
  <c r="R37" i="138"/>
  <c r="R39" i="138" s="1"/>
  <c r="I37" i="138"/>
  <c r="I36" i="138"/>
  <c r="AD35" i="138"/>
  <c r="X35" i="138"/>
  <c r="I35" i="138"/>
  <c r="AD34" i="138"/>
  <c r="U34" i="138"/>
  <c r="I34" i="138"/>
  <c r="AD33" i="138"/>
  <c r="X33" i="138"/>
  <c r="U33" i="138"/>
  <c r="I33" i="138"/>
  <c r="AD32" i="138"/>
  <c r="U32" i="138"/>
  <c r="R32" i="138"/>
  <c r="I32" i="138"/>
  <c r="AD31" i="138"/>
  <c r="X31" i="138"/>
  <c r="U31" i="138"/>
  <c r="R31" i="138"/>
  <c r="I31" i="138"/>
  <c r="AD30" i="138"/>
  <c r="R30" i="138"/>
  <c r="I30" i="138"/>
  <c r="AD29" i="138"/>
  <c r="X29" i="138"/>
  <c r="U29" i="138"/>
  <c r="R29" i="138"/>
  <c r="I29" i="138"/>
  <c r="AD28" i="138"/>
  <c r="U28" i="138"/>
  <c r="U26" i="138" s="1"/>
  <c r="R28" i="138"/>
  <c r="I28" i="138"/>
  <c r="AD27" i="138"/>
  <c r="X27" i="138"/>
  <c r="U27" i="138"/>
  <c r="R27" i="138"/>
  <c r="I27" i="138"/>
  <c r="AD26" i="138"/>
  <c r="R26" i="138"/>
  <c r="I26" i="138"/>
  <c r="AD25" i="138"/>
  <c r="Y25" i="138"/>
  <c r="X25" i="138"/>
  <c r="R25" i="138"/>
  <c r="I25" i="138"/>
  <c r="AD24" i="138"/>
  <c r="U24" i="138"/>
  <c r="R24" i="138"/>
  <c r="I24" i="138"/>
  <c r="AD23" i="138"/>
  <c r="Y23" i="138"/>
  <c r="X23" i="138"/>
  <c r="U23" i="138"/>
  <c r="R23" i="138"/>
  <c r="I23" i="138"/>
  <c r="AD22" i="138"/>
  <c r="U22" i="138"/>
  <c r="U21" i="138" s="1"/>
  <c r="R22" i="138"/>
  <c r="I22" i="138"/>
  <c r="AD21" i="138"/>
  <c r="Y21" i="138"/>
  <c r="X21" i="138"/>
  <c r="W21" i="138"/>
  <c r="R21" i="138"/>
  <c r="I21" i="138"/>
  <c r="AD20" i="138"/>
  <c r="R20" i="138"/>
  <c r="I20" i="138"/>
  <c r="AD19" i="138"/>
  <c r="Y19" i="138"/>
  <c r="X19" i="138"/>
  <c r="W19" i="138"/>
  <c r="R19" i="138"/>
  <c r="I19" i="138"/>
  <c r="AD18" i="138"/>
  <c r="R18" i="138"/>
  <c r="I18" i="138"/>
  <c r="AD17" i="138"/>
  <c r="Y17" i="138"/>
  <c r="X17" i="138"/>
  <c r="W17" i="138"/>
  <c r="V17" i="138"/>
  <c r="R17" i="138"/>
  <c r="I17" i="138"/>
  <c r="AD16" i="138"/>
  <c r="R16" i="138"/>
  <c r="I16" i="138"/>
  <c r="AD15" i="138"/>
  <c r="Y15" i="138"/>
  <c r="X15" i="138"/>
  <c r="W15" i="138"/>
  <c r="V15" i="138"/>
  <c r="R15" i="138"/>
  <c r="I15" i="138"/>
  <c r="AD14" i="138"/>
  <c r="R14" i="138"/>
  <c r="I14" i="138"/>
  <c r="AD13" i="138"/>
  <c r="Y13" i="138"/>
  <c r="X13" i="138"/>
  <c r="W13" i="138"/>
  <c r="V13" i="138"/>
  <c r="R13" i="138"/>
  <c r="I13" i="138"/>
  <c r="AD12" i="138"/>
  <c r="R12" i="138"/>
  <c r="I12" i="138"/>
  <c r="AD11" i="138"/>
  <c r="Y11" i="138"/>
  <c r="X11" i="138"/>
  <c r="W11" i="138"/>
  <c r="V11" i="138"/>
  <c r="I11" i="138"/>
  <c r="AD10" i="138"/>
  <c r="I10" i="138"/>
  <c r="AD9" i="138"/>
  <c r="Y9" i="138"/>
  <c r="X9" i="138"/>
  <c r="W9" i="138"/>
  <c r="V9" i="138"/>
  <c r="I9" i="138"/>
  <c r="AD8" i="138"/>
  <c r="R8" i="138"/>
  <c r="I8" i="138"/>
  <c r="AD7" i="138"/>
  <c r="Z7" i="138"/>
  <c r="Y7" i="138"/>
  <c r="X7" i="138"/>
  <c r="W7" i="138"/>
  <c r="V7" i="138"/>
  <c r="R7" i="138"/>
  <c r="I7" i="138"/>
  <c r="AD6" i="138"/>
  <c r="R6" i="138"/>
  <c r="I6" i="138"/>
  <c r="AD5" i="138"/>
  <c r="Z5" i="138"/>
  <c r="Y5" i="138"/>
  <c r="X5" i="138"/>
  <c r="W5" i="138"/>
  <c r="V5" i="138"/>
  <c r="R5" i="138"/>
  <c r="I5" i="138"/>
  <c r="AD4" i="138"/>
  <c r="R4" i="138"/>
  <c r="I4" i="138"/>
  <c r="R3" i="138"/>
  <c r="R9" i="138" s="1"/>
  <c r="I3" i="138"/>
  <c r="U44" i="138" s="1"/>
  <c r="R32" i="106"/>
  <c r="R31" i="106"/>
  <c r="R30" i="106"/>
  <c r="U42" i="138" l="1"/>
  <c r="R40" i="138"/>
  <c r="R33" i="138"/>
  <c r="R34" i="138" s="1"/>
  <c r="U39" i="138"/>
  <c r="U41" i="138" s="1"/>
  <c r="R31" i="108" l="1"/>
  <c r="R32" i="108"/>
  <c r="R33" i="108"/>
  <c r="R31" i="109"/>
  <c r="R32" i="109"/>
  <c r="R33" i="109"/>
  <c r="R31" i="110"/>
  <c r="R32" i="110"/>
  <c r="R33" i="110"/>
  <c r="R31" i="111"/>
  <c r="R32" i="111"/>
  <c r="R33" i="111"/>
  <c r="R31" i="112"/>
  <c r="R32" i="112"/>
  <c r="R33" i="112"/>
  <c r="R31" i="114"/>
  <c r="R32" i="114"/>
  <c r="R33" i="114"/>
  <c r="R31" i="115"/>
  <c r="R32" i="115"/>
  <c r="R33" i="115"/>
  <c r="R31" i="116"/>
  <c r="R32" i="116"/>
  <c r="R33" i="116"/>
  <c r="R31" i="117"/>
  <c r="R32" i="117"/>
  <c r="R33" i="117"/>
  <c r="R31" i="118"/>
  <c r="R32" i="118"/>
  <c r="R33" i="118"/>
  <c r="R31" i="119"/>
  <c r="R32" i="119"/>
  <c r="R33" i="119"/>
  <c r="R31" i="120"/>
  <c r="R32" i="120"/>
  <c r="R33" i="120"/>
  <c r="R31" i="121"/>
  <c r="R32" i="121"/>
  <c r="R33" i="121"/>
  <c r="R31" i="122"/>
  <c r="R32" i="122"/>
  <c r="R33" i="122"/>
  <c r="R31" i="123"/>
  <c r="R32" i="123"/>
  <c r="R33" i="123"/>
  <c r="R31" i="124"/>
  <c r="R32" i="124"/>
  <c r="R33" i="124"/>
  <c r="R31" i="125"/>
  <c r="R32" i="125"/>
  <c r="R33" i="125"/>
  <c r="R31" i="126"/>
  <c r="R32" i="126"/>
  <c r="R33" i="126"/>
  <c r="R31" i="127"/>
  <c r="R32" i="127"/>
  <c r="R33" i="127"/>
  <c r="R31" i="128"/>
  <c r="R32" i="128"/>
  <c r="R33" i="128"/>
  <c r="R31" i="129"/>
  <c r="R32" i="129"/>
  <c r="R33" i="129"/>
  <c r="R31" i="130"/>
  <c r="R32" i="130"/>
  <c r="R33" i="130"/>
  <c r="R31" i="131"/>
  <c r="R32" i="131"/>
  <c r="R33" i="131"/>
  <c r="R31" i="132"/>
  <c r="R32" i="132"/>
  <c r="R33" i="132"/>
  <c r="R31" i="133"/>
  <c r="R32" i="133"/>
  <c r="R33" i="133"/>
  <c r="R31" i="134"/>
  <c r="R32" i="134"/>
  <c r="R33" i="134"/>
  <c r="R31" i="135"/>
  <c r="R32" i="135"/>
  <c r="R33" i="135"/>
  <c r="R31" i="136"/>
  <c r="R32" i="136"/>
  <c r="R33" i="136"/>
  <c r="R31" i="137"/>
  <c r="R32" i="137"/>
  <c r="R33" i="137"/>
  <c r="R31" i="107"/>
  <c r="R32" i="107"/>
  <c r="R33" i="107"/>
  <c r="R30" i="108"/>
  <c r="R30" i="109"/>
  <c r="R30" i="110"/>
  <c r="R30" i="111"/>
  <c r="R30" i="112"/>
  <c r="R30" i="114"/>
  <c r="R30" i="115"/>
  <c r="R30" i="116"/>
  <c r="R30" i="117"/>
  <c r="R30" i="118"/>
  <c r="R30" i="119"/>
  <c r="R30" i="120"/>
  <c r="R30" i="121"/>
  <c r="R30" i="122"/>
  <c r="R30" i="123"/>
  <c r="R30" i="124"/>
  <c r="R30" i="125"/>
  <c r="R30" i="126"/>
  <c r="R30" i="127"/>
  <c r="R30" i="128"/>
  <c r="R30" i="129"/>
  <c r="R30" i="130"/>
  <c r="R30" i="131"/>
  <c r="R30" i="132"/>
  <c r="R30" i="133"/>
  <c r="R30" i="134"/>
  <c r="R30" i="135"/>
  <c r="R30" i="136"/>
  <c r="R30" i="137"/>
  <c r="R30" i="107"/>
  <c r="X21" i="108"/>
  <c r="X21" i="109"/>
  <c r="X21" i="110"/>
  <c r="X21" i="111"/>
  <c r="X21" i="112"/>
  <c r="X21" i="114"/>
  <c r="X21" i="115"/>
  <c r="X21" i="116"/>
  <c r="X21" i="117"/>
  <c r="X21" i="118"/>
  <c r="X21" i="119"/>
  <c r="X21" i="120"/>
  <c r="X21" i="121"/>
  <c r="X21" i="122"/>
  <c r="X21" i="123"/>
  <c r="X21" i="124"/>
  <c r="X21" i="125"/>
  <c r="X21" i="126"/>
  <c r="X21" i="127"/>
  <c r="X21" i="128"/>
  <c r="X21" i="129"/>
  <c r="X21" i="130"/>
  <c r="X21" i="131"/>
  <c r="X21" i="132"/>
  <c r="X21" i="133"/>
  <c r="X21" i="134"/>
  <c r="X21" i="135"/>
  <c r="X21" i="136"/>
  <c r="X21" i="137"/>
  <c r="X21" i="107"/>
  <c r="X19" i="108"/>
  <c r="X19" i="109"/>
  <c r="X19" i="110"/>
  <c r="X19" i="111"/>
  <c r="X19" i="112"/>
  <c r="X19" i="114"/>
  <c r="X19" i="115"/>
  <c r="X19" i="116"/>
  <c r="X19" i="117"/>
  <c r="X19" i="118"/>
  <c r="X19" i="119"/>
  <c r="X19" i="120"/>
  <c r="X19" i="121"/>
  <c r="X19" i="122"/>
  <c r="X19" i="123"/>
  <c r="X19" i="124"/>
  <c r="X19" i="125"/>
  <c r="X19" i="126"/>
  <c r="X19" i="127"/>
  <c r="X19" i="128"/>
  <c r="X19" i="129"/>
  <c r="X19" i="130"/>
  <c r="X19" i="131"/>
  <c r="X19" i="132"/>
  <c r="X19" i="133"/>
  <c r="X19" i="134"/>
  <c r="X19" i="135"/>
  <c r="X19" i="136"/>
  <c r="X19" i="137"/>
  <c r="X19" i="107"/>
  <c r="X21" i="106"/>
  <c r="X17" i="106"/>
  <c r="R17" i="106" l="1"/>
  <c r="R17" i="107"/>
  <c r="R17" i="108"/>
  <c r="R17" i="109"/>
  <c r="R17" i="110"/>
  <c r="R17" i="111"/>
  <c r="R17" i="112"/>
  <c r="R17" i="114"/>
  <c r="R17" i="115"/>
  <c r="R17" i="116"/>
  <c r="R17" i="117"/>
  <c r="R17" i="118"/>
  <c r="R17" i="119"/>
  <c r="R17" i="120"/>
  <c r="R17" i="121"/>
  <c r="R17" i="122"/>
  <c r="R17" i="123"/>
  <c r="R17" i="124"/>
  <c r="R17" i="125"/>
  <c r="R17" i="126"/>
  <c r="R17" i="127"/>
  <c r="R17" i="128"/>
  <c r="R17" i="129"/>
  <c r="R17" i="130"/>
  <c r="R17" i="131"/>
  <c r="R17" i="132"/>
  <c r="R17" i="133"/>
  <c r="R17" i="134"/>
  <c r="R17" i="135"/>
  <c r="R17" i="136"/>
  <c r="R17" i="137"/>
  <c r="AH32" i="4" l="1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H11" i="4"/>
  <c r="AH10" i="4"/>
  <c r="AH9" i="4"/>
  <c r="AH8" i="4"/>
  <c r="AH7" i="4"/>
  <c r="AH6" i="4"/>
  <c r="AH5" i="4"/>
  <c r="AH4" i="4"/>
  <c r="AG11" i="4"/>
  <c r="AG10" i="4"/>
  <c r="AG9" i="4"/>
  <c r="AG8" i="4"/>
  <c r="AG7" i="4"/>
  <c r="AG6" i="4"/>
  <c r="AG5" i="4"/>
  <c r="AG4" i="4"/>
  <c r="AF11" i="4"/>
  <c r="AF10" i="4"/>
  <c r="AF9" i="4"/>
  <c r="AF8" i="4"/>
  <c r="AF7" i="4"/>
  <c r="AF6" i="4"/>
  <c r="AF5" i="4"/>
  <c r="AF4" i="4"/>
  <c r="I4" i="106"/>
  <c r="I5" i="106"/>
  <c r="I6" i="106"/>
  <c r="I7" i="106"/>
  <c r="I8" i="106"/>
  <c r="I9" i="106"/>
  <c r="I10" i="106"/>
  <c r="I11" i="106"/>
  <c r="I12" i="106"/>
  <c r="I13" i="106"/>
  <c r="I14" i="106"/>
  <c r="I15" i="106"/>
  <c r="I16" i="106"/>
  <c r="I17" i="106"/>
  <c r="I18" i="106"/>
  <c r="I19" i="106"/>
  <c r="I20" i="106"/>
  <c r="I21" i="106"/>
  <c r="I22" i="106"/>
  <c r="I23" i="106"/>
  <c r="I24" i="106"/>
  <c r="I25" i="106"/>
  <c r="I26" i="106"/>
  <c r="I27" i="106"/>
  <c r="I28" i="106"/>
  <c r="I29" i="106"/>
  <c r="I30" i="106"/>
  <c r="I31" i="106"/>
  <c r="I32" i="106"/>
  <c r="I33" i="106"/>
  <c r="I34" i="106"/>
  <c r="I35" i="106"/>
  <c r="I36" i="106"/>
  <c r="I37" i="106"/>
  <c r="I38" i="106"/>
  <c r="I39" i="106"/>
  <c r="I40" i="106"/>
  <c r="I41" i="106"/>
  <c r="I42" i="106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35" i="107"/>
  <c r="I36" i="107"/>
  <c r="I37" i="107"/>
  <c r="I38" i="107"/>
  <c r="I39" i="107"/>
  <c r="I40" i="107"/>
  <c r="I41" i="107"/>
  <c r="I42" i="107"/>
  <c r="I4" i="108"/>
  <c r="I5" i="108"/>
  <c r="I6" i="108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I28" i="108"/>
  <c r="I29" i="108"/>
  <c r="I30" i="108"/>
  <c r="I31" i="108"/>
  <c r="I32" i="108"/>
  <c r="I33" i="108"/>
  <c r="I34" i="108"/>
  <c r="I35" i="108"/>
  <c r="I36" i="108"/>
  <c r="I37" i="108"/>
  <c r="I38" i="108"/>
  <c r="I39" i="108"/>
  <c r="I40" i="108"/>
  <c r="I41" i="108"/>
  <c r="I42" i="108"/>
  <c r="I4" i="109"/>
  <c r="I5" i="109"/>
  <c r="I6" i="109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40" i="109"/>
  <c r="I41" i="109"/>
  <c r="I42" i="109"/>
  <c r="I4" i="110"/>
  <c r="I5" i="110"/>
  <c r="I6" i="110"/>
  <c r="I7" i="110"/>
  <c r="I8" i="110"/>
  <c r="I9" i="110"/>
  <c r="I10" i="110"/>
  <c r="I11" i="110"/>
  <c r="I12" i="110"/>
  <c r="I13" i="110"/>
  <c r="I14" i="110"/>
  <c r="I15" i="110"/>
  <c r="I16" i="110"/>
  <c r="I17" i="110"/>
  <c r="I18" i="110"/>
  <c r="I19" i="110"/>
  <c r="I20" i="110"/>
  <c r="I21" i="110"/>
  <c r="I22" i="110"/>
  <c r="I23" i="110"/>
  <c r="I24" i="110"/>
  <c r="I25" i="110"/>
  <c r="I26" i="110"/>
  <c r="I27" i="110"/>
  <c r="I28" i="110"/>
  <c r="I29" i="110"/>
  <c r="I30" i="110"/>
  <c r="I31" i="110"/>
  <c r="I32" i="110"/>
  <c r="I33" i="110"/>
  <c r="I34" i="110"/>
  <c r="I35" i="110"/>
  <c r="I36" i="110"/>
  <c r="I37" i="110"/>
  <c r="I38" i="110"/>
  <c r="I39" i="110"/>
  <c r="I40" i="110"/>
  <c r="I41" i="110"/>
  <c r="I42" i="110"/>
  <c r="I4" i="111"/>
  <c r="I5" i="111"/>
  <c r="I6" i="111"/>
  <c r="I7" i="111"/>
  <c r="I8" i="111"/>
  <c r="I9" i="111"/>
  <c r="I10" i="111"/>
  <c r="I11" i="111"/>
  <c r="I12" i="111"/>
  <c r="I13" i="111"/>
  <c r="I14" i="111"/>
  <c r="I15" i="111"/>
  <c r="I16" i="111"/>
  <c r="I17" i="111"/>
  <c r="I18" i="111"/>
  <c r="I19" i="111"/>
  <c r="I20" i="111"/>
  <c r="I21" i="111"/>
  <c r="I22" i="111"/>
  <c r="I23" i="111"/>
  <c r="I24" i="111"/>
  <c r="I25" i="111"/>
  <c r="I26" i="111"/>
  <c r="I27" i="111"/>
  <c r="I28" i="111"/>
  <c r="I29" i="111"/>
  <c r="I30" i="111"/>
  <c r="I31" i="111"/>
  <c r="I32" i="111"/>
  <c r="I33" i="111"/>
  <c r="I34" i="111"/>
  <c r="I35" i="111"/>
  <c r="I36" i="111"/>
  <c r="I37" i="111"/>
  <c r="I38" i="111"/>
  <c r="I39" i="111"/>
  <c r="I40" i="111"/>
  <c r="I41" i="111"/>
  <c r="I42" i="111"/>
  <c r="I4" i="112"/>
  <c r="I5" i="112"/>
  <c r="I6" i="112"/>
  <c r="I7" i="112"/>
  <c r="I8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24" i="112"/>
  <c r="I25" i="112"/>
  <c r="I26" i="112"/>
  <c r="I27" i="112"/>
  <c r="I28" i="112"/>
  <c r="I29" i="112"/>
  <c r="I30" i="112"/>
  <c r="I31" i="112"/>
  <c r="I32" i="112"/>
  <c r="I33" i="112"/>
  <c r="I34" i="112"/>
  <c r="I35" i="112"/>
  <c r="I36" i="112"/>
  <c r="I37" i="112"/>
  <c r="I38" i="112"/>
  <c r="I39" i="112"/>
  <c r="I40" i="112"/>
  <c r="I41" i="112"/>
  <c r="I42" i="112"/>
  <c r="I4" i="114"/>
  <c r="I5" i="114"/>
  <c r="I6" i="114"/>
  <c r="I7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23" i="114"/>
  <c r="I24" i="114"/>
  <c r="I25" i="114"/>
  <c r="I26" i="114"/>
  <c r="I27" i="114"/>
  <c r="I28" i="114"/>
  <c r="I29" i="114"/>
  <c r="I30" i="114"/>
  <c r="I31" i="114"/>
  <c r="I32" i="114"/>
  <c r="I33" i="114"/>
  <c r="I34" i="114"/>
  <c r="I35" i="114"/>
  <c r="I36" i="114"/>
  <c r="I37" i="114"/>
  <c r="I38" i="114"/>
  <c r="I39" i="114"/>
  <c r="I40" i="114"/>
  <c r="I41" i="114"/>
  <c r="I42" i="114"/>
  <c r="I4" i="115"/>
  <c r="I5" i="115"/>
  <c r="I6" i="115"/>
  <c r="I7" i="115"/>
  <c r="I8" i="115"/>
  <c r="I9" i="115"/>
  <c r="I10" i="115"/>
  <c r="I11" i="115"/>
  <c r="I12" i="115"/>
  <c r="I13" i="115"/>
  <c r="I14" i="115"/>
  <c r="I15" i="115"/>
  <c r="I16" i="115"/>
  <c r="I17" i="115"/>
  <c r="I18" i="115"/>
  <c r="I19" i="115"/>
  <c r="I20" i="115"/>
  <c r="I21" i="115"/>
  <c r="I22" i="115"/>
  <c r="I23" i="115"/>
  <c r="I24" i="115"/>
  <c r="I25" i="115"/>
  <c r="I26" i="115"/>
  <c r="I27" i="115"/>
  <c r="I28" i="115"/>
  <c r="I29" i="115"/>
  <c r="I30" i="115"/>
  <c r="I31" i="115"/>
  <c r="I32" i="115"/>
  <c r="I33" i="115"/>
  <c r="I34" i="115"/>
  <c r="I35" i="115"/>
  <c r="I36" i="115"/>
  <c r="I37" i="115"/>
  <c r="I38" i="115"/>
  <c r="I39" i="115"/>
  <c r="I40" i="115"/>
  <c r="I41" i="115"/>
  <c r="I42" i="115"/>
  <c r="I4" i="116"/>
  <c r="I5" i="116"/>
  <c r="I6" i="116"/>
  <c r="I7" i="116"/>
  <c r="I8" i="116"/>
  <c r="I9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2" i="116"/>
  <c r="I23" i="116"/>
  <c r="I24" i="116"/>
  <c r="I25" i="116"/>
  <c r="I26" i="116"/>
  <c r="I27" i="116"/>
  <c r="I28" i="116"/>
  <c r="I29" i="116"/>
  <c r="I30" i="116"/>
  <c r="I31" i="116"/>
  <c r="I32" i="116"/>
  <c r="I33" i="116"/>
  <c r="I34" i="116"/>
  <c r="I35" i="116"/>
  <c r="I36" i="116"/>
  <c r="I37" i="116"/>
  <c r="I38" i="116"/>
  <c r="I39" i="116"/>
  <c r="I40" i="116"/>
  <c r="I41" i="116"/>
  <c r="I42" i="116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33" i="117"/>
  <c r="I34" i="117"/>
  <c r="I35" i="117"/>
  <c r="I36" i="117"/>
  <c r="I37" i="117"/>
  <c r="I38" i="117"/>
  <c r="I39" i="117"/>
  <c r="I40" i="117"/>
  <c r="I41" i="117"/>
  <c r="I42" i="117"/>
  <c r="I4" i="118"/>
  <c r="I5" i="118"/>
  <c r="I6" i="118"/>
  <c r="I7" i="118"/>
  <c r="I8" i="118"/>
  <c r="I9" i="118"/>
  <c r="I10" i="118"/>
  <c r="I11" i="118"/>
  <c r="I12" i="118"/>
  <c r="I13" i="118"/>
  <c r="I14" i="118"/>
  <c r="I15" i="118"/>
  <c r="I16" i="118"/>
  <c r="I17" i="118"/>
  <c r="I18" i="118"/>
  <c r="I19" i="118"/>
  <c r="I20" i="118"/>
  <c r="I21" i="118"/>
  <c r="I22" i="118"/>
  <c r="I23" i="118"/>
  <c r="I24" i="118"/>
  <c r="I25" i="118"/>
  <c r="I26" i="118"/>
  <c r="I27" i="118"/>
  <c r="I28" i="118"/>
  <c r="I29" i="118"/>
  <c r="I30" i="118"/>
  <c r="I31" i="118"/>
  <c r="I32" i="118"/>
  <c r="I33" i="118"/>
  <c r="I34" i="118"/>
  <c r="I35" i="118"/>
  <c r="I36" i="118"/>
  <c r="I37" i="118"/>
  <c r="I38" i="118"/>
  <c r="I39" i="118"/>
  <c r="I40" i="118"/>
  <c r="I41" i="118"/>
  <c r="I42" i="118"/>
  <c r="I4" i="119"/>
  <c r="I5" i="119"/>
  <c r="I6" i="119"/>
  <c r="I7" i="119"/>
  <c r="I8" i="119"/>
  <c r="I9" i="119"/>
  <c r="I10" i="119"/>
  <c r="I11" i="119"/>
  <c r="I12" i="119"/>
  <c r="I13" i="119"/>
  <c r="I14" i="119"/>
  <c r="I15" i="119"/>
  <c r="I16" i="119"/>
  <c r="I17" i="119"/>
  <c r="I18" i="119"/>
  <c r="I19" i="119"/>
  <c r="I20" i="119"/>
  <c r="I21" i="119"/>
  <c r="I22" i="119"/>
  <c r="I23" i="119"/>
  <c r="I24" i="119"/>
  <c r="I25" i="119"/>
  <c r="I26" i="119"/>
  <c r="I27" i="119"/>
  <c r="I28" i="119"/>
  <c r="I29" i="119"/>
  <c r="I30" i="119"/>
  <c r="I31" i="119"/>
  <c r="I32" i="119"/>
  <c r="I33" i="119"/>
  <c r="I34" i="119"/>
  <c r="I35" i="119"/>
  <c r="I36" i="119"/>
  <c r="I37" i="119"/>
  <c r="I38" i="119"/>
  <c r="I39" i="119"/>
  <c r="I40" i="119"/>
  <c r="I41" i="119"/>
  <c r="I42" i="119"/>
  <c r="I4" i="120"/>
  <c r="I5" i="120"/>
  <c r="I6" i="120"/>
  <c r="I7" i="120"/>
  <c r="I8" i="120"/>
  <c r="I9" i="120"/>
  <c r="I10" i="120"/>
  <c r="I11" i="120"/>
  <c r="I12" i="120"/>
  <c r="I13" i="120"/>
  <c r="I14" i="120"/>
  <c r="I15" i="120"/>
  <c r="I16" i="120"/>
  <c r="I17" i="120"/>
  <c r="I18" i="120"/>
  <c r="I19" i="120"/>
  <c r="I20" i="120"/>
  <c r="I21" i="120"/>
  <c r="I22" i="120"/>
  <c r="I23" i="120"/>
  <c r="I24" i="120"/>
  <c r="I25" i="120"/>
  <c r="I26" i="120"/>
  <c r="I27" i="120"/>
  <c r="I28" i="120"/>
  <c r="I29" i="120"/>
  <c r="I30" i="120"/>
  <c r="I31" i="120"/>
  <c r="I32" i="120"/>
  <c r="I33" i="120"/>
  <c r="I34" i="120"/>
  <c r="I35" i="120"/>
  <c r="I36" i="120"/>
  <c r="I37" i="120"/>
  <c r="I38" i="120"/>
  <c r="I39" i="120"/>
  <c r="I40" i="120"/>
  <c r="I41" i="120"/>
  <c r="I42" i="120"/>
  <c r="I4" i="121"/>
  <c r="I5" i="121"/>
  <c r="I6" i="121"/>
  <c r="I7" i="121"/>
  <c r="I8" i="121"/>
  <c r="I9" i="121"/>
  <c r="I10" i="121"/>
  <c r="I11" i="121"/>
  <c r="I12" i="121"/>
  <c r="I13" i="121"/>
  <c r="I14" i="121"/>
  <c r="I15" i="121"/>
  <c r="I16" i="121"/>
  <c r="I17" i="121"/>
  <c r="I18" i="121"/>
  <c r="I19" i="121"/>
  <c r="I20" i="121"/>
  <c r="I21" i="121"/>
  <c r="I22" i="121"/>
  <c r="I23" i="121"/>
  <c r="I24" i="121"/>
  <c r="I25" i="121"/>
  <c r="I26" i="121"/>
  <c r="I27" i="121"/>
  <c r="I28" i="121"/>
  <c r="I29" i="121"/>
  <c r="I30" i="121"/>
  <c r="I31" i="121"/>
  <c r="I32" i="121"/>
  <c r="I33" i="121"/>
  <c r="I34" i="121"/>
  <c r="I35" i="121"/>
  <c r="I36" i="121"/>
  <c r="I37" i="121"/>
  <c r="I38" i="121"/>
  <c r="I39" i="121"/>
  <c r="I40" i="121"/>
  <c r="I41" i="121"/>
  <c r="I42" i="121"/>
  <c r="I4" i="122"/>
  <c r="I5" i="122"/>
  <c r="I6" i="122"/>
  <c r="I7" i="122"/>
  <c r="I8" i="122"/>
  <c r="I9" i="122"/>
  <c r="I10" i="122"/>
  <c r="I11" i="122"/>
  <c r="I12" i="122"/>
  <c r="I13" i="122"/>
  <c r="I14" i="122"/>
  <c r="I15" i="122"/>
  <c r="I16" i="122"/>
  <c r="I17" i="122"/>
  <c r="I18" i="122"/>
  <c r="I19" i="122"/>
  <c r="I20" i="122"/>
  <c r="I21" i="122"/>
  <c r="I22" i="122"/>
  <c r="I23" i="122"/>
  <c r="I24" i="122"/>
  <c r="I25" i="122"/>
  <c r="I26" i="122"/>
  <c r="I27" i="122"/>
  <c r="I28" i="122"/>
  <c r="I29" i="122"/>
  <c r="I30" i="122"/>
  <c r="I31" i="122"/>
  <c r="I32" i="122"/>
  <c r="I33" i="122"/>
  <c r="I34" i="122"/>
  <c r="I35" i="122"/>
  <c r="I36" i="122"/>
  <c r="I37" i="122"/>
  <c r="I38" i="122"/>
  <c r="I39" i="122"/>
  <c r="I40" i="122"/>
  <c r="I41" i="122"/>
  <c r="I42" i="122"/>
  <c r="I4" i="123"/>
  <c r="I5" i="123"/>
  <c r="I6" i="123"/>
  <c r="I7" i="123"/>
  <c r="I8" i="123"/>
  <c r="I9" i="123"/>
  <c r="I10" i="123"/>
  <c r="I11" i="123"/>
  <c r="I12" i="123"/>
  <c r="I13" i="123"/>
  <c r="I14" i="123"/>
  <c r="I15" i="123"/>
  <c r="I16" i="123"/>
  <c r="I17" i="123"/>
  <c r="I18" i="123"/>
  <c r="I19" i="123"/>
  <c r="I20" i="123"/>
  <c r="I21" i="123"/>
  <c r="I22" i="123"/>
  <c r="I23" i="123"/>
  <c r="I24" i="123"/>
  <c r="I25" i="123"/>
  <c r="I26" i="123"/>
  <c r="I27" i="123"/>
  <c r="I28" i="123"/>
  <c r="I29" i="123"/>
  <c r="I30" i="123"/>
  <c r="I31" i="123"/>
  <c r="I32" i="123"/>
  <c r="I33" i="123"/>
  <c r="I34" i="123"/>
  <c r="I35" i="123"/>
  <c r="I36" i="123"/>
  <c r="I37" i="123"/>
  <c r="I38" i="123"/>
  <c r="I39" i="123"/>
  <c r="I40" i="123"/>
  <c r="I41" i="123"/>
  <c r="I42" i="123"/>
  <c r="I4" i="124"/>
  <c r="I5" i="124"/>
  <c r="I6" i="124"/>
  <c r="I7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28" i="124"/>
  <c r="I29" i="124"/>
  <c r="I30" i="124"/>
  <c r="I31" i="124"/>
  <c r="I32" i="124"/>
  <c r="I33" i="124"/>
  <c r="I34" i="124"/>
  <c r="I35" i="124"/>
  <c r="I36" i="124"/>
  <c r="I37" i="124"/>
  <c r="I38" i="124"/>
  <c r="I39" i="124"/>
  <c r="I40" i="124"/>
  <c r="I41" i="124"/>
  <c r="I42" i="124"/>
  <c r="I4" i="125"/>
  <c r="I5" i="125"/>
  <c r="I6" i="125"/>
  <c r="I7" i="125"/>
  <c r="I8" i="125"/>
  <c r="I9" i="125"/>
  <c r="I10" i="125"/>
  <c r="I11" i="125"/>
  <c r="I12" i="125"/>
  <c r="I13" i="125"/>
  <c r="I14" i="125"/>
  <c r="I15" i="125"/>
  <c r="I16" i="125"/>
  <c r="I17" i="125"/>
  <c r="I18" i="125"/>
  <c r="I19" i="125"/>
  <c r="I20" i="125"/>
  <c r="I21" i="125"/>
  <c r="I22" i="125"/>
  <c r="I23" i="125"/>
  <c r="I24" i="125"/>
  <c r="I25" i="125"/>
  <c r="I26" i="125"/>
  <c r="I27" i="125"/>
  <c r="I28" i="125"/>
  <c r="I29" i="125"/>
  <c r="I30" i="125"/>
  <c r="I31" i="125"/>
  <c r="I32" i="125"/>
  <c r="I33" i="125"/>
  <c r="I34" i="125"/>
  <c r="I35" i="125"/>
  <c r="I36" i="125"/>
  <c r="I37" i="125"/>
  <c r="I38" i="125"/>
  <c r="I39" i="125"/>
  <c r="I40" i="125"/>
  <c r="I41" i="125"/>
  <c r="I42" i="125"/>
  <c r="I4" i="126"/>
  <c r="I5" i="126"/>
  <c r="I6" i="126"/>
  <c r="I7" i="126"/>
  <c r="I8" i="126"/>
  <c r="I9" i="126"/>
  <c r="I10" i="126"/>
  <c r="I11" i="126"/>
  <c r="I12" i="126"/>
  <c r="I13" i="126"/>
  <c r="I14" i="126"/>
  <c r="I15" i="126"/>
  <c r="I16" i="126"/>
  <c r="I17" i="126"/>
  <c r="I18" i="126"/>
  <c r="I19" i="126"/>
  <c r="I20" i="126"/>
  <c r="I21" i="126"/>
  <c r="I22" i="126"/>
  <c r="I23" i="126"/>
  <c r="I24" i="126"/>
  <c r="I25" i="126"/>
  <c r="I26" i="126"/>
  <c r="I27" i="126"/>
  <c r="I28" i="126"/>
  <c r="I29" i="126"/>
  <c r="I30" i="126"/>
  <c r="I31" i="126"/>
  <c r="I32" i="126"/>
  <c r="I33" i="126"/>
  <c r="I34" i="126"/>
  <c r="I35" i="126"/>
  <c r="I36" i="126"/>
  <c r="I37" i="126"/>
  <c r="I38" i="126"/>
  <c r="I39" i="126"/>
  <c r="I40" i="126"/>
  <c r="I41" i="126"/>
  <c r="I42" i="126"/>
  <c r="I4" i="127"/>
  <c r="I5" i="127"/>
  <c r="I6" i="127"/>
  <c r="I7" i="127"/>
  <c r="I8" i="127"/>
  <c r="I9" i="127"/>
  <c r="I10" i="127"/>
  <c r="I11" i="127"/>
  <c r="I12" i="127"/>
  <c r="I13" i="127"/>
  <c r="I14" i="127"/>
  <c r="I15" i="127"/>
  <c r="I16" i="127"/>
  <c r="I17" i="127"/>
  <c r="I18" i="127"/>
  <c r="I19" i="127"/>
  <c r="I20" i="127"/>
  <c r="I21" i="127"/>
  <c r="I22" i="127"/>
  <c r="I23" i="127"/>
  <c r="I24" i="127"/>
  <c r="I25" i="127"/>
  <c r="I26" i="127"/>
  <c r="I27" i="127"/>
  <c r="I28" i="127"/>
  <c r="I29" i="127"/>
  <c r="I30" i="127"/>
  <c r="I31" i="127"/>
  <c r="I32" i="127"/>
  <c r="I33" i="127"/>
  <c r="I34" i="127"/>
  <c r="I35" i="127"/>
  <c r="I36" i="127"/>
  <c r="I37" i="127"/>
  <c r="I38" i="127"/>
  <c r="I39" i="127"/>
  <c r="I40" i="127"/>
  <c r="I41" i="127"/>
  <c r="I42" i="127"/>
  <c r="I4" i="128"/>
  <c r="I5" i="128"/>
  <c r="I6" i="128"/>
  <c r="I7" i="128"/>
  <c r="I8" i="128"/>
  <c r="I9" i="128"/>
  <c r="I10" i="128"/>
  <c r="I11" i="128"/>
  <c r="I12" i="128"/>
  <c r="I13" i="128"/>
  <c r="I14" i="128"/>
  <c r="I15" i="128"/>
  <c r="I16" i="128"/>
  <c r="I17" i="128"/>
  <c r="I18" i="128"/>
  <c r="I19" i="128"/>
  <c r="I20" i="128"/>
  <c r="I21" i="128"/>
  <c r="I22" i="128"/>
  <c r="I23" i="128"/>
  <c r="I24" i="128"/>
  <c r="I25" i="128"/>
  <c r="I26" i="128"/>
  <c r="I27" i="128"/>
  <c r="I28" i="128"/>
  <c r="I29" i="128"/>
  <c r="I30" i="128"/>
  <c r="I31" i="128"/>
  <c r="I32" i="128"/>
  <c r="I33" i="128"/>
  <c r="I34" i="128"/>
  <c r="I35" i="128"/>
  <c r="I36" i="128"/>
  <c r="I37" i="128"/>
  <c r="I38" i="128"/>
  <c r="I39" i="128"/>
  <c r="I40" i="128"/>
  <c r="I41" i="128"/>
  <c r="I42" i="128"/>
  <c r="I4" i="129"/>
  <c r="I5" i="129"/>
  <c r="I6" i="129"/>
  <c r="I7" i="129"/>
  <c r="I8" i="129"/>
  <c r="I9" i="129"/>
  <c r="I10" i="129"/>
  <c r="I11" i="129"/>
  <c r="I12" i="129"/>
  <c r="I13" i="129"/>
  <c r="I14" i="129"/>
  <c r="I15" i="129"/>
  <c r="I16" i="129"/>
  <c r="I17" i="129"/>
  <c r="I18" i="129"/>
  <c r="I19" i="129"/>
  <c r="I20" i="129"/>
  <c r="I21" i="129"/>
  <c r="I22" i="129"/>
  <c r="I23" i="129"/>
  <c r="I24" i="129"/>
  <c r="I25" i="129"/>
  <c r="I26" i="129"/>
  <c r="I27" i="129"/>
  <c r="I28" i="129"/>
  <c r="I29" i="129"/>
  <c r="I30" i="129"/>
  <c r="I31" i="129"/>
  <c r="I32" i="129"/>
  <c r="I33" i="129"/>
  <c r="I34" i="129"/>
  <c r="I35" i="129"/>
  <c r="I36" i="129"/>
  <c r="I37" i="129"/>
  <c r="I38" i="129"/>
  <c r="I39" i="129"/>
  <c r="I40" i="129"/>
  <c r="I41" i="129"/>
  <c r="I42" i="129"/>
  <c r="I4" i="130"/>
  <c r="I5" i="130"/>
  <c r="I6" i="130"/>
  <c r="I7" i="130"/>
  <c r="I8" i="130"/>
  <c r="I9" i="130"/>
  <c r="I10" i="130"/>
  <c r="I11" i="130"/>
  <c r="I12" i="130"/>
  <c r="I13" i="130"/>
  <c r="I14" i="130"/>
  <c r="I15" i="130"/>
  <c r="I16" i="130"/>
  <c r="I17" i="130"/>
  <c r="I18" i="130"/>
  <c r="I19" i="130"/>
  <c r="I20" i="130"/>
  <c r="I21" i="130"/>
  <c r="I22" i="130"/>
  <c r="I23" i="130"/>
  <c r="I24" i="130"/>
  <c r="I25" i="130"/>
  <c r="I26" i="130"/>
  <c r="I27" i="130"/>
  <c r="I28" i="130"/>
  <c r="I29" i="130"/>
  <c r="I30" i="130"/>
  <c r="I31" i="130"/>
  <c r="I32" i="130"/>
  <c r="I33" i="130"/>
  <c r="I34" i="130"/>
  <c r="I35" i="130"/>
  <c r="I36" i="130"/>
  <c r="I37" i="130"/>
  <c r="I38" i="130"/>
  <c r="I39" i="130"/>
  <c r="I40" i="130"/>
  <c r="I41" i="130"/>
  <c r="I42" i="130"/>
  <c r="I4" i="131"/>
  <c r="I5" i="131"/>
  <c r="I6" i="131"/>
  <c r="I7" i="131"/>
  <c r="I8" i="131"/>
  <c r="I9" i="131"/>
  <c r="I10" i="131"/>
  <c r="I11" i="131"/>
  <c r="I12" i="131"/>
  <c r="I13" i="131"/>
  <c r="I14" i="131"/>
  <c r="I15" i="131"/>
  <c r="I16" i="131"/>
  <c r="I17" i="131"/>
  <c r="I18" i="131"/>
  <c r="I19" i="131"/>
  <c r="I20" i="131"/>
  <c r="I21" i="131"/>
  <c r="I22" i="131"/>
  <c r="I23" i="131"/>
  <c r="I24" i="131"/>
  <c r="I25" i="131"/>
  <c r="I26" i="131"/>
  <c r="I27" i="131"/>
  <c r="I28" i="131"/>
  <c r="I29" i="131"/>
  <c r="I30" i="131"/>
  <c r="I31" i="131"/>
  <c r="I32" i="131"/>
  <c r="I33" i="131"/>
  <c r="I34" i="131"/>
  <c r="I35" i="131"/>
  <c r="I36" i="131"/>
  <c r="I37" i="131"/>
  <c r="I38" i="131"/>
  <c r="I39" i="131"/>
  <c r="I40" i="131"/>
  <c r="I41" i="131"/>
  <c r="I42" i="131"/>
  <c r="I4" i="132"/>
  <c r="I5" i="132"/>
  <c r="I6" i="132"/>
  <c r="I7" i="132"/>
  <c r="I8" i="132"/>
  <c r="I9" i="132"/>
  <c r="I10" i="132"/>
  <c r="I11" i="132"/>
  <c r="I12" i="132"/>
  <c r="I13" i="132"/>
  <c r="I14" i="132"/>
  <c r="I15" i="132"/>
  <c r="I16" i="132"/>
  <c r="I17" i="132"/>
  <c r="I18" i="132"/>
  <c r="I19" i="132"/>
  <c r="I20" i="132"/>
  <c r="I21" i="132"/>
  <c r="I22" i="132"/>
  <c r="I23" i="132"/>
  <c r="I24" i="132"/>
  <c r="I25" i="132"/>
  <c r="I26" i="132"/>
  <c r="I27" i="132"/>
  <c r="I28" i="132"/>
  <c r="I29" i="132"/>
  <c r="I30" i="132"/>
  <c r="I31" i="132"/>
  <c r="I32" i="132"/>
  <c r="I33" i="132"/>
  <c r="I34" i="132"/>
  <c r="I35" i="132"/>
  <c r="I36" i="132"/>
  <c r="I37" i="132"/>
  <c r="I38" i="132"/>
  <c r="I39" i="132"/>
  <c r="I40" i="132"/>
  <c r="I41" i="132"/>
  <c r="I42" i="132"/>
  <c r="I4" i="133"/>
  <c r="I5" i="133"/>
  <c r="I6" i="133"/>
  <c r="I7" i="133"/>
  <c r="I8" i="133"/>
  <c r="I9" i="133"/>
  <c r="I10" i="133"/>
  <c r="I11" i="133"/>
  <c r="I12" i="133"/>
  <c r="I13" i="133"/>
  <c r="I14" i="133"/>
  <c r="I15" i="133"/>
  <c r="I16" i="133"/>
  <c r="I17" i="133"/>
  <c r="I18" i="133"/>
  <c r="I19" i="133"/>
  <c r="I20" i="133"/>
  <c r="I21" i="133"/>
  <c r="I22" i="133"/>
  <c r="I23" i="133"/>
  <c r="I24" i="133"/>
  <c r="I25" i="133"/>
  <c r="I26" i="133"/>
  <c r="I27" i="133"/>
  <c r="I28" i="133"/>
  <c r="I29" i="133"/>
  <c r="I30" i="133"/>
  <c r="I31" i="133"/>
  <c r="I32" i="133"/>
  <c r="I33" i="133"/>
  <c r="I34" i="133"/>
  <c r="I35" i="133"/>
  <c r="I36" i="133"/>
  <c r="I37" i="133"/>
  <c r="I38" i="133"/>
  <c r="I39" i="133"/>
  <c r="I40" i="133"/>
  <c r="I41" i="133"/>
  <c r="I42" i="133"/>
  <c r="I4" i="134"/>
  <c r="I5" i="134"/>
  <c r="I6" i="134"/>
  <c r="I7" i="134"/>
  <c r="I8" i="134"/>
  <c r="I9" i="134"/>
  <c r="I10" i="134"/>
  <c r="I11" i="134"/>
  <c r="I12" i="134"/>
  <c r="I13" i="134"/>
  <c r="I14" i="134"/>
  <c r="I15" i="134"/>
  <c r="I16" i="134"/>
  <c r="I17" i="134"/>
  <c r="I18" i="134"/>
  <c r="I19" i="134"/>
  <c r="I20" i="134"/>
  <c r="I21" i="134"/>
  <c r="I22" i="134"/>
  <c r="I23" i="134"/>
  <c r="I24" i="134"/>
  <c r="I25" i="134"/>
  <c r="I26" i="134"/>
  <c r="I27" i="134"/>
  <c r="I28" i="134"/>
  <c r="I29" i="134"/>
  <c r="I30" i="134"/>
  <c r="I31" i="134"/>
  <c r="I32" i="134"/>
  <c r="I33" i="134"/>
  <c r="I34" i="134"/>
  <c r="I35" i="134"/>
  <c r="I36" i="134"/>
  <c r="I37" i="134"/>
  <c r="I38" i="134"/>
  <c r="I39" i="134"/>
  <c r="I40" i="134"/>
  <c r="I41" i="134"/>
  <c r="I42" i="134"/>
  <c r="I4" i="135"/>
  <c r="I5" i="135"/>
  <c r="I6" i="135"/>
  <c r="I7" i="135"/>
  <c r="I8" i="135"/>
  <c r="I9" i="135"/>
  <c r="I10" i="135"/>
  <c r="I11" i="135"/>
  <c r="I12" i="135"/>
  <c r="I13" i="135"/>
  <c r="I14" i="135"/>
  <c r="I15" i="135"/>
  <c r="I16" i="135"/>
  <c r="I17" i="135"/>
  <c r="I18" i="135"/>
  <c r="I19" i="135"/>
  <c r="I20" i="135"/>
  <c r="I21" i="135"/>
  <c r="I22" i="135"/>
  <c r="I23" i="135"/>
  <c r="I24" i="135"/>
  <c r="I25" i="135"/>
  <c r="I26" i="135"/>
  <c r="I27" i="135"/>
  <c r="I28" i="135"/>
  <c r="I29" i="135"/>
  <c r="I30" i="135"/>
  <c r="I31" i="135"/>
  <c r="I32" i="135"/>
  <c r="I33" i="135"/>
  <c r="I34" i="135"/>
  <c r="I35" i="135"/>
  <c r="I36" i="135"/>
  <c r="I37" i="135"/>
  <c r="I38" i="135"/>
  <c r="I39" i="135"/>
  <c r="I40" i="135"/>
  <c r="I41" i="135"/>
  <c r="I42" i="135"/>
  <c r="I4" i="136"/>
  <c r="I5" i="136"/>
  <c r="I6" i="136"/>
  <c r="I7" i="136"/>
  <c r="I8" i="136"/>
  <c r="I9" i="136"/>
  <c r="I10" i="136"/>
  <c r="I11" i="136"/>
  <c r="I12" i="136"/>
  <c r="I13" i="136"/>
  <c r="I14" i="136"/>
  <c r="I15" i="136"/>
  <c r="I16" i="136"/>
  <c r="I17" i="136"/>
  <c r="I18" i="136"/>
  <c r="I19" i="136"/>
  <c r="I20" i="136"/>
  <c r="I21" i="136"/>
  <c r="I22" i="136"/>
  <c r="I23" i="136"/>
  <c r="I24" i="136"/>
  <c r="I25" i="136"/>
  <c r="I26" i="136"/>
  <c r="I27" i="136"/>
  <c r="I28" i="136"/>
  <c r="I29" i="136"/>
  <c r="I30" i="136"/>
  <c r="I31" i="136"/>
  <c r="I32" i="136"/>
  <c r="I33" i="136"/>
  <c r="I34" i="136"/>
  <c r="I35" i="136"/>
  <c r="I36" i="136"/>
  <c r="I37" i="136"/>
  <c r="I38" i="136"/>
  <c r="I39" i="136"/>
  <c r="I40" i="136"/>
  <c r="I41" i="136"/>
  <c r="I42" i="136"/>
  <c r="I4" i="137"/>
  <c r="I5" i="137"/>
  <c r="I6" i="137"/>
  <c r="I7" i="137"/>
  <c r="I8" i="137"/>
  <c r="I9" i="137"/>
  <c r="I10" i="137"/>
  <c r="I11" i="137"/>
  <c r="I12" i="137"/>
  <c r="I13" i="137"/>
  <c r="I14" i="137"/>
  <c r="I15" i="137"/>
  <c r="I16" i="137"/>
  <c r="I17" i="137"/>
  <c r="I18" i="137"/>
  <c r="I19" i="137"/>
  <c r="I20" i="137"/>
  <c r="I21" i="137"/>
  <c r="I22" i="137"/>
  <c r="I23" i="137"/>
  <c r="I24" i="137"/>
  <c r="I25" i="137"/>
  <c r="I26" i="137"/>
  <c r="I27" i="137"/>
  <c r="I28" i="137"/>
  <c r="I29" i="137"/>
  <c r="I30" i="137"/>
  <c r="I31" i="137"/>
  <c r="I32" i="137"/>
  <c r="I33" i="137"/>
  <c r="I34" i="137"/>
  <c r="I35" i="137"/>
  <c r="I36" i="137"/>
  <c r="I37" i="137"/>
  <c r="I38" i="137"/>
  <c r="I39" i="137"/>
  <c r="I40" i="137"/>
  <c r="I41" i="137"/>
  <c r="I42" i="137"/>
  <c r="I3" i="106"/>
  <c r="I3" i="107"/>
  <c r="I3" i="108"/>
  <c r="I3" i="109"/>
  <c r="R51" i="109" s="1"/>
  <c r="I3" i="110"/>
  <c r="I3" i="111"/>
  <c r="R51" i="111" s="1"/>
  <c r="I3" i="112"/>
  <c r="I3" i="114"/>
  <c r="R51" i="114" s="1"/>
  <c r="I3" i="115"/>
  <c r="I3" i="116"/>
  <c r="R51" i="116" s="1"/>
  <c r="I3" i="117"/>
  <c r="I3" i="118"/>
  <c r="R51" i="118" s="1"/>
  <c r="I3" i="119"/>
  <c r="I3" i="120"/>
  <c r="R51" i="120" s="1"/>
  <c r="I3" i="121"/>
  <c r="I3" i="122"/>
  <c r="R51" i="122" s="1"/>
  <c r="I3" i="123"/>
  <c r="I3" i="124"/>
  <c r="R51" i="124" s="1"/>
  <c r="I3" i="125"/>
  <c r="I3" i="126"/>
  <c r="R51" i="126" s="1"/>
  <c r="I3" i="127"/>
  <c r="I3" i="128"/>
  <c r="R51" i="128" s="1"/>
  <c r="I3" i="129"/>
  <c r="I3" i="130"/>
  <c r="R51" i="130" s="1"/>
  <c r="I3" i="131"/>
  <c r="I3" i="132"/>
  <c r="R51" i="132" s="1"/>
  <c r="I3" i="133"/>
  <c r="I3" i="134"/>
  <c r="R51" i="134" s="1"/>
  <c r="I3" i="135"/>
  <c r="I3" i="136"/>
  <c r="R51" i="136" s="1"/>
  <c r="I3" i="137"/>
  <c r="AH3" i="4"/>
  <c r="AG3" i="4"/>
  <c r="AF3" i="4"/>
  <c r="AH2" i="4"/>
  <c r="AG2" i="4"/>
  <c r="AF2" i="4"/>
  <c r="R15" i="106"/>
  <c r="R16" i="106"/>
  <c r="R15" i="107"/>
  <c r="R16" i="107"/>
  <c r="R15" i="108"/>
  <c r="R16" i="108"/>
  <c r="R15" i="109"/>
  <c r="R16" i="109"/>
  <c r="R15" i="110"/>
  <c r="R16" i="110"/>
  <c r="R15" i="111"/>
  <c r="R16" i="111"/>
  <c r="R15" i="112"/>
  <c r="R16" i="112"/>
  <c r="R15" i="114"/>
  <c r="R16" i="114"/>
  <c r="R15" i="115"/>
  <c r="R16" i="115"/>
  <c r="R15" i="116"/>
  <c r="R16" i="116"/>
  <c r="R15" i="117"/>
  <c r="R16" i="117"/>
  <c r="R15" i="118"/>
  <c r="R16" i="118"/>
  <c r="R15" i="119"/>
  <c r="R16" i="119"/>
  <c r="R15" i="120"/>
  <c r="R16" i="120"/>
  <c r="R15" i="121"/>
  <c r="R16" i="121"/>
  <c r="R15" i="122"/>
  <c r="R16" i="122"/>
  <c r="R15" i="123"/>
  <c r="R16" i="123"/>
  <c r="R15" i="124"/>
  <c r="R16" i="124"/>
  <c r="R15" i="125"/>
  <c r="R16" i="125"/>
  <c r="R15" i="126"/>
  <c r="R16" i="126"/>
  <c r="R15" i="127"/>
  <c r="R16" i="127"/>
  <c r="R15" i="128"/>
  <c r="R16" i="128"/>
  <c r="R15" i="129"/>
  <c r="R16" i="129"/>
  <c r="R15" i="130"/>
  <c r="R16" i="130"/>
  <c r="R15" i="131"/>
  <c r="R16" i="131"/>
  <c r="R15" i="132"/>
  <c r="R16" i="132"/>
  <c r="R15" i="133"/>
  <c r="R16" i="133"/>
  <c r="R15" i="134"/>
  <c r="R16" i="134"/>
  <c r="R15" i="135"/>
  <c r="R16" i="135"/>
  <c r="R15" i="136"/>
  <c r="R16" i="136"/>
  <c r="R15" i="137"/>
  <c r="R16" i="137"/>
  <c r="R51" i="107" l="1"/>
  <c r="R51" i="137"/>
  <c r="R51" i="135"/>
  <c r="R51" i="133"/>
  <c r="R51" i="131"/>
  <c r="R51" i="129"/>
  <c r="R51" i="127"/>
  <c r="R51" i="125"/>
  <c r="R51" i="123"/>
  <c r="R51" i="121"/>
  <c r="R51" i="119"/>
  <c r="R51" i="117"/>
  <c r="R51" i="115"/>
  <c r="R51" i="112"/>
  <c r="R51" i="110"/>
  <c r="R51" i="108"/>
  <c r="R51" i="106"/>
  <c r="C2" i="4"/>
  <c r="U50" i="106"/>
  <c r="U49" i="106"/>
  <c r="U48" i="106"/>
  <c r="U45" i="106"/>
  <c r="U44" i="106"/>
  <c r="U43" i="106"/>
  <c r="U40" i="106"/>
  <c r="U39" i="106"/>
  <c r="U38" i="106"/>
  <c r="U50" i="107"/>
  <c r="U49" i="107"/>
  <c r="U48" i="107"/>
  <c r="U45" i="107"/>
  <c r="U44" i="107"/>
  <c r="U43" i="107"/>
  <c r="U40" i="107"/>
  <c r="U39" i="107"/>
  <c r="U38" i="107"/>
  <c r="U50" i="108"/>
  <c r="U49" i="108"/>
  <c r="U48" i="108"/>
  <c r="U45" i="108"/>
  <c r="U44" i="108"/>
  <c r="U43" i="108"/>
  <c r="U40" i="108"/>
  <c r="U39" i="108"/>
  <c r="U38" i="108"/>
  <c r="U50" i="109"/>
  <c r="U49" i="109"/>
  <c r="U48" i="109"/>
  <c r="U45" i="109"/>
  <c r="U44" i="109"/>
  <c r="U43" i="109"/>
  <c r="U40" i="109"/>
  <c r="U39" i="109"/>
  <c r="U38" i="109"/>
  <c r="U50" i="110"/>
  <c r="U49" i="110"/>
  <c r="U48" i="110"/>
  <c r="U45" i="110"/>
  <c r="U44" i="110"/>
  <c r="U43" i="110"/>
  <c r="U40" i="110"/>
  <c r="U39" i="110"/>
  <c r="U38" i="110"/>
  <c r="U50" i="111"/>
  <c r="U49" i="111"/>
  <c r="U48" i="111"/>
  <c r="U45" i="111"/>
  <c r="U44" i="111"/>
  <c r="U43" i="111"/>
  <c r="U40" i="111"/>
  <c r="U39" i="111"/>
  <c r="U38" i="111"/>
  <c r="U50" i="112"/>
  <c r="U49" i="112"/>
  <c r="U48" i="112"/>
  <c r="U45" i="112"/>
  <c r="U44" i="112"/>
  <c r="U43" i="112"/>
  <c r="U40" i="112"/>
  <c r="U39" i="112"/>
  <c r="U38" i="112"/>
  <c r="U50" i="114"/>
  <c r="U49" i="114"/>
  <c r="U48" i="114"/>
  <c r="U45" i="114"/>
  <c r="U44" i="114"/>
  <c r="U43" i="114"/>
  <c r="U40" i="114"/>
  <c r="U39" i="114"/>
  <c r="U38" i="114"/>
  <c r="U50" i="115"/>
  <c r="U49" i="115"/>
  <c r="U48" i="115"/>
  <c r="U45" i="115"/>
  <c r="U44" i="115"/>
  <c r="U43" i="115"/>
  <c r="U40" i="115"/>
  <c r="U39" i="115"/>
  <c r="U38" i="115"/>
  <c r="U50" i="116"/>
  <c r="U49" i="116"/>
  <c r="U48" i="116"/>
  <c r="U45" i="116"/>
  <c r="U44" i="116"/>
  <c r="U43" i="116"/>
  <c r="U40" i="116"/>
  <c r="U39" i="116"/>
  <c r="U38" i="116"/>
  <c r="U50" i="117"/>
  <c r="U49" i="117"/>
  <c r="U48" i="117"/>
  <c r="U45" i="117"/>
  <c r="U44" i="117"/>
  <c r="U43" i="117"/>
  <c r="U40" i="117"/>
  <c r="U39" i="117"/>
  <c r="U38" i="117"/>
  <c r="U50" i="118"/>
  <c r="U49" i="118"/>
  <c r="U48" i="118"/>
  <c r="U45" i="118"/>
  <c r="U44" i="118"/>
  <c r="U43" i="118"/>
  <c r="U40" i="118"/>
  <c r="U39" i="118"/>
  <c r="U38" i="118"/>
  <c r="U50" i="119"/>
  <c r="U49" i="119"/>
  <c r="U48" i="119"/>
  <c r="U45" i="119"/>
  <c r="U44" i="119"/>
  <c r="U43" i="119"/>
  <c r="U40" i="119"/>
  <c r="U39" i="119"/>
  <c r="U38" i="119"/>
  <c r="U50" i="120"/>
  <c r="U49" i="120"/>
  <c r="U48" i="120"/>
  <c r="U45" i="120"/>
  <c r="U44" i="120"/>
  <c r="U43" i="120"/>
  <c r="U40" i="120"/>
  <c r="U39" i="120"/>
  <c r="U38" i="120"/>
  <c r="U50" i="121"/>
  <c r="U49" i="121"/>
  <c r="U48" i="121"/>
  <c r="U45" i="121"/>
  <c r="U44" i="121"/>
  <c r="U43" i="121"/>
  <c r="U40" i="121"/>
  <c r="U39" i="121"/>
  <c r="U38" i="121"/>
  <c r="U50" i="122"/>
  <c r="U49" i="122"/>
  <c r="U48" i="122"/>
  <c r="U45" i="122"/>
  <c r="U44" i="122"/>
  <c r="U43" i="122"/>
  <c r="U40" i="122"/>
  <c r="U39" i="122"/>
  <c r="U38" i="122"/>
  <c r="U50" i="123"/>
  <c r="U49" i="123"/>
  <c r="U48" i="123"/>
  <c r="U45" i="123"/>
  <c r="U44" i="123"/>
  <c r="U43" i="123"/>
  <c r="U40" i="123"/>
  <c r="U39" i="123"/>
  <c r="U38" i="123"/>
  <c r="U50" i="124"/>
  <c r="U49" i="124"/>
  <c r="U48" i="124"/>
  <c r="U45" i="124"/>
  <c r="U44" i="124"/>
  <c r="U43" i="124"/>
  <c r="U40" i="124"/>
  <c r="U39" i="124"/>
  <c r="U38" i="124"/>
  <c r="U50" i="125"/>
  <c r="U49" i="125"/>
  <c r="U48" i="125"/>
  <c r="U45" i="125"/>
  <c r="U44" i="125"/>
  <c r="U43" i="125"/>
  <c r="U40" i="125"/>
  <c r="U39" i="125"/>
  <c r="U38" i="125"/>
  <c r="U50" i="126"/>
  <c r="U49" i="126"/>
  <c r="U48" i="126"/>
  <c r="U45" i="126"/>
  <c r="U44" i="126"/>
  <c r="U43" i="126"/>
  <c r="U40" i="126"/>
  <c r="U39" i="126"/>
  <c r="U38" i="126"/>
  <c r="U50" i="127"/>
  <c r="U49" i="127"/>
  <c r="U48" i="127"/>
  <c r="U45" i="127"/>
  <c r="U44" i="127"/>
  <c r="U43" i="127"/>
  <c r="U40" i="127"/>
  <c r="U39" i="127"/>
  <c r="U38" i="127"/>
  <c r="U50" i="128"/>
  <c r="U49" i="128"/>
  <c r="U48" i="128"/>
  <c r="U45" i="128"/>
  <c r="U44" i="128"/>
  <c r="U43" i="128"/>
  <c r="U40" i="128"/>
  <c r="U39" i="128"/>
  <c r="U38" i="128"/>
  <c r="U50" i="129"/>
  <c r="U49" i="129"/>
  <c r="U48" i="129"/>
  <c r="U45" i="129"/>
  <c r="U44" i="129"/>
  <c r="U43" i="129"/>
  <c r="U40" i="129"/>
  <c r="U39" i="129"/>
  <c r="U38" i="129"/>
  <c r="U50" i="130"/>
  <c r="U49" i="130"/>
  <c r="U48" i="130"/>
  <c r="U45" i="130"/>
  <c r="U44" i="130"/>
  <c r="U43" i="130"/>
  <c r="U40" i="130"/>
  <c r="U39" i="130"/>
  <c r="U38" i="130"/>
  <c r="U50" i="131"/>
  <c r="U49" i="131"/>
  <c r="U48" i="131"/>
  <c r="U45" i="131"/>
  <c r="U44" i="131"/>
  <c r="U43" i="131"/>
  <c r="U40" i="131"/>
  <c r="U39" i="131"/>
  <c r="U38" i="131"/>
  <c r="U50" i="132"/>
  <c r="U49" i="132"/>
  <c r="U48" i="132"/>
  <c r="U45" i="132"/>
  <c r="U44" i="132"/>
  <c r="U43" i="132"/>
  <c r="U40" i="132"/>
  <c r="U39" i="132"/>
  <c r="U38" i="132"/>
  <c r="U50" i="133"/>
  <c r="U49" i="133"/>
  <c r="U48" i="133"/>
  <c r="U45" i="133"/>
  <c r="U44" i="133"/>
  <c r="U43" i="133"/>
  <c r="U40" i="133"/>
  <c r="U39" i="133"/>
  <c r="U38" i="133"/>
  <c r="U50" i="134"/>
  <c r="U49" i="134"/>
  <c r="U48" i="134"/>
  <c r="U45" i="134"/>
  <c r="U44" i="134"/>
  <c r="U43" i="134"/>
  <c r="U40" i="134"/>
  <c r="U39" i="134"/>
  <c r="U38" i="134"/>
  <c r="U50" i="135"/>
  <c r="U49" i="135"/>
  <c r="U48" i="135"/>
  <c r="U45" i="135"/>
  <c r="U44" i="135"/>
  <c r="U43" i="135"/>
  <c r="U40" i="135"/>
  <c r="U39" i="135"/>
  <c r="U38" i="135"/>
  <c r="U50" i="136"/>
  <c r="U49" i="136"/>
  <c r="U48" i="136"/>
  <c r="U45" i="136"/>
  <c r="U44" i="136"/>
  <c r="U43" i="136"/>
  <c r="U40" i="136"/>
  <c r="U39" i="136"/>
  <c r="U38" i="136"/>
  <c r="U50" i="137"/>
  <c r="U49" i="137"/>
  <c r="U48" i="137"/>
  <c r="U45" i="137"/>
  <c r="U44" i="137"/>
  <c r="U43" i="137"/>
  <c r="U40" i="137"/>
  <c r="U39" i="137"/>
  <c r="U38" i="137"/>
  <c r="U37" i="106" l="1"/>
  <c r="U47" i="106"/>
  <c r="U42" i="107"/>
  <c r="U37" i="111"/>
  <c r="U47" i="111"/>
  <c r="U42" i="110"/>
  <c r="U37" i="109"/>
  <c r="U47" i="109"/>
  <c r="U42" i="108"/>
  <c r="U37" i="107"/>
  <c r="U42" i="106"/>
  <c r="U42" i="116"/>
  <c r="U37" i="116"/>
  <c r="U47" i="116"/>
  <c r="U47" i="134"/>
  <c r="U37" i="133"/>
  <c r="U47" i="133"/>
  <c r="U42" i="132"/>
  <c r="U37" i="131"/>
  <c r="U47" i="131"/>
  <c r="U42" i="130"/>
  <c r="U37" i="129"/>
  <c r="U47" i="129"/>
  <c r="U42" i="128"/>
  <c r="U37" i="127"/>
  <c r="U47" i="127"/>
  <c r="U42" i="126"/>
  <c r="U37" i="125"/>
  <c r="U47" i="125"/>
  <c r="U42" i="124"/>
  <c r="U37" i="123"/>
  <c r="U47" i="123"/>
  <c r="U42" i="122"/>
  <c r="U37" i="121"/>
  <c r="U47" i="121"/>
  <c r="U42" i="120"/>
  <c r="U37" i="119"/>
  <c r="U47" i="119"/>
  <c r="U42" i="118"/>
  <c r="U37" i="117"/>
  <c r="U47" i="117"/>
  <c r="U42" i="115"/>
  <c r="U37" i="114"/>
  <c r="U47" i="114"/>
  <c r="U42" i="112"/>
  <c r="U42" i="137"/>
  <c r="U37" i="136"/>
  <c r="U47" i="136"/>
  <c r="U42" i="135"/>
  <c r="U37" i="134"/>
  <c r="U37" i="137"/>
  <c r="U47" i="137"/>
  <c r="U42" i="136"/>
  <c r="U37" i="135"/>
  <c r="U47" i="135"/>
  <c r="U42" i="134"/>
  <c r="U42" i="133"/>
  <c r="U37" i="132"/>
  <c r="U47" i="132"/>
  <c r="U42" i="131"/>
  <c r="U37" i="130"/>
  <c r="U47" i="130"/>
  <c r="U42" i="129"/>
  <c r="U37" i="128"/>
  <c r="U47" i="128"/>
  <c r="U42" i="127"/>
  <c r="U37" i="126"/>
  <c r="U47" i="126"/>
  <c r="U42" i="125"/>
  <c r="U37" i="124"/>
  <c r="U47" i="124"/>
  <c r="U42" i="123"/>
  <c r="U37" i="122"/>
  <c r="U47" i="122"/>
  <c r="U42" i="121"/>
  <c r="U37" i="120"/>
  <c r="U47" i="120"/>
  <c r="U42" i="119"/>
  <c r="U37" i="118"/>
  <c r="U47" i="118"/>
  <c r="U42" i="117"/>
  <c r="U37" i="115"/>
  <c r="U47" i="115"/>
  <c r="U42" i="114"/>
  <c r="U37" i="112"/>
  <c r="U47" i="112"/>
  <c r="U42" i="111"/>
  <c r="U37" i="110"/>
  <c r="U47" i="110"/>
  <c r="U42" i="109"/>
  <c r="U37" i="108"/>
  <c r="U47" i="108"/>
  <c r="U47" i="107"/>
  <c r="R20" i="106"/>
  <c r="R20" i="107"/>
  <c r="R20" i="108"/>
  <c r="R20" i="109"/>
  <c r="R20" i="110"/>
  <c r="R20" i="111"/>
  <c r="R20" i="112"/>
  <c r="R20" i="114"/>
  <c r="R20" i="115"/>
  <c r="R20" i="116"/>
  <c r="R20" i="117"/>
  <c r="R20" i="118"/>
  <c r="R20" i="119"/>
  <c r="R20" i="120"/>
  <c r="R20" i="121"/>
  <c r="R20" i="122"/>
  <c r="R20" i="123"/>
  <c r="R20" i="124"/>
  <c r="R20" i="125"/>
  <c r="R20" i="126"/>
  <c r="R20" i="127"/>
  <c r="R20" i="128"/>
  <c r="R20" i="129"/>
  <c r="R20" i="130"/>
  <c r="R20" i="131"/>
  <c r="R20" i="132"/>
  <c r="R20" i="133"/>
  <c r="R20" i="134"/>
  <c r="R20" i="135"/>
  <c r="R20" i="136"/>
  <c r="R20" i="137"/>
  <c r="W42" i="137" l="1"/>
  <c r="W41" i="137"/>
  <c r="X40" i="137"/>
  <c r="W40" i="137"/>
  <c r="R44" i="137"/>
  <c r="G32" i="4" s="1"/>
  <c r="AE35" i="137"/>
  <c r="Y35" i="137"/>
  <c r="AE34" i="137"/>
  <c r="AE33" i="137"/>
  <c r="Y33" i="137"/>
  <c r="R38" i="137"/>
  <c r="AE32" i="137"/>
  <c r="R37" i="137"/>
  <c r="AE31" i="137"/>
  <c r="Y31" i="137"/>
  <c r="AE30" i="137"/>
  <c r="AE29" i="137"/>
  <c r="Y29" i="137"/>
  <c r="AE28" i="137"/>
  <c r="R29" i="137"/>
  <c r="AE27" i="137"/>
  <c r="Y27" i="137"/>
  <c r="AE26" i="137"/>
  <c r="R28" i="137"/>
  <c r="AE25" i="137"/>
  <c r="Z25" i="137"/>
  <c r="Z32" i="4" s="1"/>
  <c r="Y25" i="137"/>
  <c r="R27" i="137"/>
  <c r="AE24" i="137"/>
  <c r="R26" i="137"/>
  <c r="AE23" i="137"/>
  <c r="Z23" i="137"/>
  <c r="Y32" i="4" s="1"/>
  <c r="Y23" i="137"/>
  <c r="R25" i="137"/>
  <c r="AE22" i="137"/>
  <c r="R24" i="137"/>
  <c r="AE21" i="137"/>
  <c r="Z21" i="137"/>
  <c r="X32" i="4" s="1"/>
  <c r="Y21" i="137"/>
  <c r="AE20" i="137"/>
  <c r="R23" i="137"/>
  <c r="AE19" i="137"/>
  <c r="Z19" i="137"/>
  <c r="W32" i="4" s="1"/>
  <c r="Y19" i="137"/>
  <c r="R22" i="137"/>
  <c r="AE18" i="137"/>
  <c r="R21" i="137"/>
  <c r="AE17" i="137"/>
  <c r="Z17" i="137"/>
  <c r="V32" i="4" s="1"/>
  <c r="Y17" i="137"/>
  <c r="X17" i="137"/>
  <c r="W17" i="137"/>
  <c r="O32" i="4" s="1"/>
  <c r="R19" i="137"/>
  <c r="AE16" i="137"/>
  <c r="R18" i="137"/>
  <c r="AE15" i="137"/>
  <c r="Z15" i="137"/>
  <c r="U32" i="4" s="1"/>
  <c r="Y15" i="137"/>
  <c r="X15" i="137"/>
  <c r="W15" i="137"/>
  <c r="N32" i="4" s="1"/>
  <c r="R14" i="137"/>
  <c r="AE14" i="137"/>
  <c r="R13" i="137"/>
  <c r="AE13" i="137"/>
  <c r="Z13" i="137"/>
  <c r="T32" i="4" s="1"/>
  <c r="Y13" i="137"/>
  <c r="X13" i="137"/>
  <c r="W13" i="137"/>
  <c r="M32" i="4" s="1"/>
  <c r="R12" i="137"/>
  <c r="AE12" i="137"/>
  <c r="AE11" i="137"/>
  <c r="Z11" i="137"/>
  <c r="S32" i="4" s="1"/>
  <c r="Y11" i="137"/>
  <c r="X11" i="137"/>
  <c r="W11" i="137"/>
  <c r="L32" i="4" s="1"/>
  <c r="AE10" i="137"/>
  <c r="AE9" i="137"/>
  <c r="Z9" i="137"/>
  <c r="R32" i="4" s="1"/>
  <c r="Y9" i="137"/>
  <c r="X9" i="137"/>
  <c r="AD32" i="4" s="1"/>
  <c r="W9" i="137"/>
  <c r="K32" i="4" s="1"/>
  <c r="R8" i="137"/>
  <c r="AE8" i="137"/>
  <c r="R7" i="137"/>
  <c r="AE7" i="137"/>
  <c r="AA7" i="137"/>
  <c r="AB32" i="4" s="1"/>
  <c r="Z7" i="137"/>
  <c r="Q32" i="4" s="1"/>
  <c r="Y7" i="137"/>
  <c r="X7" i="137"/>
  <c r="W7" i="137"/>
  <c r="J32" i="4" s="1"/>
  <c r="R6" i="137"/>
  <c r="AE6" i="137"/>
  <c r="R5" i="137"/>
  <c r="AE5" i="137"/>
  <c r="AA5" i="137"/>
  <c r="AA32" i="4" s="1"/>
  <c r="Z5" i="137"/>
  <c r="P32" i="4" s="1"/>
  <c r="Y5" i="137"/>
  <c r="H32" i="4" s="1"/>
  <c r="X5" i="137"/>
  <c r="W5" i="137"/>
  <c r="R4" i="137"/>
  <c r="AE4" i="137"/>
  <c r="R3" i="137"/>
  <c r="W42" i="136"/>
  <c r="W41" i="136"/>
  <c r="X40" i="136"/>
  <c r="W40" i="136"/>
  <c r="R44" i="136"/>
  <c r="G31" i="4" s="1"/>
  <c r="AE35" i="136"/>
  <c r="Y35" i="136"/>
  <c r="AE34" i="136"/>
  <c r="AE33" i="136"/>
  <c r="Y33" i="136"/>
  <c r="R38" i="136"/>
  <c r="AE32" i="136"/>
  <c r="R37" i="136"/>
  <c r="AE31" i="136"/>
  <c r="Y31" i="136"/>
  <c r="AE30" i="136"/>
  <c r="AE29" i="136"/>
  <c r="Y29" i="136"/>
  <c r="AE28" i="136"/>
  <c r="R29" i="136"/>
  <c r="AE27" i="136"/>
  <c r="Y27" i="136"/>
  <c r="AE26" i="136"/>
  <c r="R28" i="136"/>
  <c r="AE25" i="136"/>
  <c r="Z25" i="136"/>
  <c r="Z31" i="4" s="1"/>
  <c r="Y25" i="136"/>
  <c r="R27" i="136"/>
  <c r="AE24" i="136"/>
  <c r="R26" i="136"/>
  <c r="AE23" i="136"/>
  <c r="Z23" i="136"/>
  <c r="Y31" i="4" s="1"/>
  <c r="Y23" i="136"/>
  <c r="R25" i="136"/>
  <c r="AE22" i="136"/>
  <c r="R24" i="136"/>
  <c r="AE21" i="136"/>
  <c r="Z21" i="136"/>
  <c r="X31" i="4" s="1"/>
  <c r="Y21" i="136"/>
  <c r="AE20" i="136"/>
  <c r="R23" i="136"/>
  <c r="AE19" i="136"/>
  <c r="Z19" i="136"/>
  <c r="W31" i="4" s="1"/>
  <c r="Y19" i="136"/>
  <c r="R22" i="136"/>
  <c r="AE18" i="136"/>
  <c r="R21" i="136"/>
  <c r="AE17" i="136"/>
  <c r="Z17" i="136"/>
  <c r="V31" i="4" s="1"/>
  <c r="Y17" i="136"/>
  <c r="X17" i="136"/>
  <c r="W17" i="136"/>
  <c r="O31" i="4" s="1"/>
  <c r="R19" i="136"/>
  <c r="AE16" i="136"/>
  <c r="R18" i="136"/>
  <c r="AE15" i="136"/>
  <c r="Z15" i="136"/>
  <c r="U31" i="4" s="1"/>
  <c r="Y15" i="136"/>
  <c r="X15" i="136"/>
  <c r="W15" i="136"/>
  <c r="N31" i="4" s="1"/>
  <c r="R14" i="136"/>
  <c r="AE14" i="136"/>
  <c r="R13" i="136"/>
  <c r="AE13" i="136"/>
  <c r="Z13" i="136"/>
  <c r="T31" i="4" s="1"/>
  <c r="Y13" i="136"/>
  <c r="X13" i="136"/>
  <c r="W13" i="136"/>
  <c r="M31" i="4" s="1"/>
  <c r="R12" i="136"/>
  <c r="AE12" i="136"/>
  <c r="AE11" i="136"/>
  <c r="Z11" i="136"/>
  <c r="S31" i="4" s="1"/>
  <c r="Y11" i="136"/>
  <c r="X11" i="136"/>
  <c r="W11" i="136"/>
  <c r="L31" i="4" s="1"/>
  <c r="AE10" i="136"/>
  <c r="AE9" i="136"/>
  <c r="Z9" i="136"/>
  <c r="R31" i="4" s="1"/>
  <c r="Y9" i="136"/>
  <c r="X9" i="136"/>
  <c r="AD31" i="4" s="1"/>
  <c r="W9" i="136"/>
  <c r="K31" i="4" s="1"/>
  <c r="R8" i="136"/>
  <c r="AE8" i="136"/>
  <c r="R7" i="136"/>
  <c r="AE7" i="136"/>
  <c r="AA7" i="136"/>
  <c r="AB31" i="4" s="1"/>
  <c r="Z7" i="136"/>
  <c r="Q31" i="4" s="1"/>
  <c r="Y7" i="136"/>
  <c r="X7" i="136"/>
  <c r="W7" i="136"/>
  <c r="J31" i="4" s="1"/>
  <c r="R6" i="136"/>
  <c r="AE6" i="136"/>
  <c r="R5" i="136"/>
  <c r="AE5" i="136"/>
  <c r="AA5" i="136"/>
  <c r="AA31" i="4" s="1"/>
  <c r="Z5" i="136"/>
  <c r="P31" i="4" s="1"/>
  <c r="Y5" i="136"/>
  <c r="H31" i="4" s="1"/>
  <c r="X5" i="136"/>
  <c r="W5" i="136"/>
  <c r="R4" i="136"/>
  <c r="AE4" i="136"/>
  <c r="R3" i="136"/>
  <c r="W42" i="135"/>
  <c r="W41" i="135"/>
  <c r="X40" i="135"/>
  <c r="W40" i="135"/>
  <c r="R44" i="135"/>
  <c r="G30" i="4" s="1"/>
  <c r="AE35" i="135"/>
  <c r="Y35" i="135"/>
  <c r="AE34" i="135"/>
  <c r="AE33" i="135"/>
  <c r="Y33" i="135"/>
  <c r="R38" i="135"/>
  <c r="AE32" i="135"/>
  <c r="R37" i="135"/>
  <c r="AE31" i="135"/>
  <c r="Y31" i="135"/>
  <c r="AE30" i="135"/>
  <c r="AE29" i="135"/>
  <c r="Y29" i="135"/>
  <c r="AE28" i="135"/>
  <c r="R29" i="135"/>
  <c r="AE27" i="135"/>
  <c r="Y27" i="135"/>
  <c r="AE26" i="135"/>
  <c r="R28" i="135"/>
  <c r="AE25" i="135"/>
  <c r="Z25" i="135"/>
  <c r="Z30" i="4" s="1"/>
  <c r="Y25" i="135"/>
  <c r="R27" i="135"/>
  <c r="AE24" i="135"/>
  <c r="R26" i="135"/>
  <c r="AE23" i="135"/>
  <c r="Z23" i="135"/>
  <c r="Y30" i="4" s="1"/>
  <c r="Y23" i="135"/>
  <c r="R25" i="135"/>
  <c r="AE22" i="135"/>
  <c r="R24" i="135"/>
  <c r="AE21" i="135"/>
  <c r="Z21" i="135"/>
  <c r="X30" i="4" s="1"/>
  <c r="Y21" i="135"/>
  <c r="AE20" i="135"/>
  <c r="R23" i="135"/>
  <c r="AE19" i="135"/>
  <c r="Z19" i="135"/>
  <c r="W30" i="4" s="1"/>
  <c r="Y19" i="135"/>
  <c r="R22" i="135"/>
  <c r="AE18" i="135"/>
  <c r="R21" i="135"/>
  <c r="AE17" i="135"/>
  <c r="Z17" i="135"/>
  <c r="V30" i="4" s="1"/>
  <c r="Y17" i="135"/>
  <c r="X17" i="135"/>
  <c r="W17" i="135"/>
  <c r="O30" i="4" s="1"/>
  <c r="R19" i="135"/>
  <c r="AE16" i="135"/>
  <c r="R18" i="135"/>
  <c r="AE15" i="135"/>
  <c r="Z15" i="135"/>
  <c r="U30" i="4" s="1"/>
  <c r="Y15" i="135"/>
  <c r="X15" i="135"/>
  <c r="W15" i="135"/>
  <c r="N30" i="4" s="1"/>
  <c r="R14" i="135"/>
  <c r="AE14" i="135"/>
  <c r="R13" i="135"/>
  <c r="AE13" i="135"/>
  <c r="Z13" i="135"/>
  <c r="T30" i="4" s="1"/>
  <c r="Y13" i="135"/>
  <c r="X13" i="135"/>
  <c r="W13" i="135"/>
  <c r="M30" i="4" s="1"/>
  <c r="R12" i="135"/>
  <c r="AE12" i="135"/>
  <c r="AE11" i="135"/>
  <c r="Z11" i="135"/>
  <c r="S30" i="4" s="1"/>
  <c r="Y11" i="135"/>
  <c r="X11" i="135"/>
  <c r="W11" i="135"/>
  <c r="L30" i="4" s="1"/>
  <c r="AE10" i="135"/>
  <c r="AE9" i="135"/>
  <c r="Z9" i="135"/>
  <c r="R30" i="4" s="1"/>
  <c r="Y9" i="135"/>
  <c r="X9" i="135"/>
  <c r="AD30" i="4" s="1"/>
  <c r="W9" i="135"/>
  <c r="K30" i="4" s="1"/>
  <c r="R8" i="135"/>
  <c r="AE8" i="135"/>
  <c r="R7" i="135"/>
  <c r="AE7" i="135"/>
  <c r="AA7" i="135"/>
  <c r="AB30" i="4" s="1"/>
  <c r="Z7" i="135"/>
  <c r="Q30" i="4" s="1"/>
  <c r="Y7" i="135"/>
  <c r="X7" i="135"/>
  <c r="W7" i="135"/>
  <c r="J30" i="4" s="1"/>
  <c r="R6" i="135"/>
  <c r="AE6" i="135"/>
  <c r="R5" i="135"/>
  <c r="AE5" i="135"/>
  <c r="AA5" i="135"/>
  <c r="AA30" i="4" s="1"/>
  <c r="Z5" i="135"/>
  <c r="P30" i="4" s="1"/>
  <c r="Y5" i="135"/>
  <c r="H30" i="4" s="1"/>
  <c r="X5" i="135"/>
  <c r="W5" i="135"/>
  <c r="R4" i="135"/>
  <c r="AE4" i="135"/>
  <c r="R3" i="135"/>
  <c r="W42" i="134"/>
  <c r="W41" i="134"/>
  <c r="X40" i="134"/>
  <c r="W40" i="134"/>
  <c r="R44" i="134"/>
  <c r="G29" i="4" s="1"/>
  <c r="AE35" i="134"/>
  <c r="Y35" i="134"/>
  <c r="AE34" i="134"/>
  <c r="AE33" i="134"/>
  <c r="Y33" i="134"/>
  <c r="R38" i="134"/>
  <c r="AE32" i="134"/>
  <c r="R37" i="134"/>
  <c r="AE31" i="134"/>
  <c r="Y31" i="134"/>
  <c r="AE30" i="134"/>
  <c r="AE29" i="134"/>
  <c r="Y29" i="134"/>
  <c r="AE28" i="134"/>
  <c r="R29" i="134"/>
  <c r="AE27" i="134"/>
  <c r="Y27" i="134"/>
  <c r="AE26" i="134"/>
  <c r="R28" i="134"/>
  <c r="AE25" i="134"/>
  <c r="Z25" i="134"/>
  <c r="Z29" i="4" s="1"/>
  <c r="Y25" i="134"/>
  <c r="R27" i="134"/>
  <c r="AE24" i="134"/>
  <c r="R26" i="134"/>
  <c r="AE23" i="134"/>
  <c r="Z23" i="134"/>
  <c r="Y29" i="4" s="1"/>
  <c r="Y23" i="134"/>
  <c r="R25" i="134"/>
  <c r="AE22" i="134"/>
  <c r="R24" i="134"/>
  <c r="AE21" i="134"/>
  <c r="Z21" i="134"/>
  <c r="X29" i="4" s="1"/>
  <c r="Y21" i="134"/>
  <c r="AE20" i="134"/>
  <c r="R23" i="134"/>
  <c r="AE19" i="134"/>
  <c r="Z19" i="134"/>
  <c r="W29" i="4" s="1"/>
  <c r="Y19" i="134"/>
  <c r="R22" i="134"/>
  <c r="AE18" i="134"/>
  <c r="R21" i="134"/>
  <c r="AE17" i="134"/>
  <c r="Z17" i="134"/>
  <c r="V29" i="4" s="1"/>
  <c r="Y17" i="134"/>
  <c r="X17" i="134"/>
  <c r="W17" i="134"/>
  <c r="O29" i="4" s="1"/>
  <c r="R19" i="134"/>
  <c r="AE16" i="134"/>
  <c r="R18" i="134"/>
  <c r="AE15" i="134"/>
  <c r="Z15" i="134"/>
  <c r="U29" i="4" s="1"/>
  <c r="Y15" i="134"/>
  <c r="X15" i="134"/>
  <c r="W15" i="134"/>
  <c r="N29" i="4" s="1"/>
  <c r="R14" i="134"/>
  <c r="AE14" i="134"/>
  <c r="R13" i="134"/>
  <c r="AE13" i="134"/>
  <c r="Z13" i="134"/>
  <c r="T29" i="4" s="1"/>
  <c r="Y13" i="134"/>
  <c r="X13" i="134"/>
  <c r="W13" i="134"/>
  <c r="M29" i="4" s="1"/>
  <c r="R12" i="134"/>
  <c r="AE12" i="134"/>
  <c r="AE11" i="134"/>
  <c r="Z11" i="134"/>
  <c r="S29" i="4" s="1"/>
  <c r="Y11" i="134"/>
  <c r="X11" i="134"/>
  <c r="W11" i="134"/>
  <c r="L29" i="4" s="1"/>
  <c r="AE10" i="134"/>
  <c r="AE9" i="134"/>
  <c r="Z9" i="134"/>
  <c r="R29" i="4" s="1"/>
  <c r="Y9" i="134"/>
  <c r="X9" i="134"/>
  <c r="AD29" i="4" s="1"/>
  <c r="W9" i="134"/>
  <c r="K29" i="4" s="1"/>
  <c r="R8" i="134"/>
  <c r="AE8" i="134"/>
  <c r="R7" i="134"/>
  <c r="AE7" i="134"/>
  <c r="AA7" i="134"/>
  <c r="AB29" i="4" s="1"/>
  <c r="Z7" i="134"/>
  <c r="Q29" i="4" s="1"/>
  <c r="Y7" i="134"/>
  <c r="X7" i="134"/>
  <c r="W7" i="134"/>
  <c r="J29" i="4" s="1"/>
  <c r="R6" i="134"/>
  <c r="AE6" i="134"/>
  <c r="R5" i="134"/>
  <c r="AE5" i="134"/>
  <c r="AA5" i="134"/>
  <c r="AA29" i="4" s="1"/>
  <c r="Z5" i="134"/>
  <c r="P29" i="4" s="1"/>
  <c r="Y5" i="134"/>
  <c r="H29" i="4" s="1"/>
  <c r="X5" i="134"/>
  <c r="W5" i="134"/>
  <c r="R4" i="134"/>
  <c r="AE4" i="134"/>
  <c r="R3" i="134"/>
  <c r="W42" i="133"/>
  <c r="W41" i="133"/>
  <c r="X40" i="133"/>
  <c r="W40" i="133"/>
  <c r="R44" i="133"/>
  <c r="G28" i="4" s="1"/>
  <c r="AE35" i="133"/>
  <c r="Y35" i="133"/>
  <c r="AE34" i="133"/>
  <c r="AE33" i="133"/>
  <c r="Y33" i="133"/>
  <c r="R38" i="133"/>
  <c r="AE32" i="133"/>
  <c r="R37" i="133"/>
  <c r="AE31" i="133"/>
  <c r="Y31" i="133"/>
  <c r="AE30" i="133"/>
  <c r="AE29" i="133"/>
  <c r="Y29" i="133"/>
  <c r="AE28" i="133"/>
  <c r="R29" i="133"/>
  <c r="AE27" i="133"/>
  <c r="Y27" i="133"/>
  <c r="AE26" i="133"/>
  <c r="R28" i="133"/>
  <c r="AE25" i="133"/>
  <c r="Z25" i="133"/>
  <c r="Z28" i="4" s="1"/>
  <c r="Y25" i="133"/>
  <c r="R27" i="133"/>
  <c r="AE24" i="133"/>
  <c r="R26" i="133"/>
  <c r="AE23" i="133"/>
  <c r="Z23" i="133"/>
  <c r="Y28" i="4" s="1"/>
  <c r="Y23" i="133"/>
  <c r="R25" i="133"/>
  <c r="AE22" i="133"/>
  <c r="R24" i="133"/>
  <c r="AE21" i="133"/>
  <c r="Z21" i="133"/>
  <c r="X28" i="4" s="1"/>
  <c r="Y21" i="133"/>
  <c r="AE20" i="133"/>
  <c r="R23" i="133"/>
  <c r="AE19" i="133"/>
  <c r="Z19" i="133"/>
  <c r="W28" i="4" s="1"/>
  <c r="Y19" i="133"/>
  <c r="R22" i="133"/>
  <c r="AE18" i="133"/>
  <c r="R21" i="133"/>
  <c r="AE17" i="133"/>
  <c r="Z17" i="133"/>
  <c r="V28" i="4" s="1"/>
  <c r="Y17" i="133"/>
  <c r="X17" i="133"/>
  <c r="W17" i="133"/>
  <c r="O28" i="4" s="1"/>
  <c r="R19" i="133"/>
  <c r="AE16" i="133"/>
  <c r="R18" i="133"/>
  <c r="AE15" i="133"/>
  <c r="Z15" i="133"/>
  <c r="U28" i="4" s="1"/>
  <c r="Y15" i="133"/>
  <c r="X15" i="133"/>
  <c r="W15" i="133"/>
  <c r="N28" i="4" s="1"/>
  <c r="R14" i="133"/>
  <c r="AE14" i="133"/>
  <c r="R13" i="133"/>
  <c r="AE13" i="133"/>
  <c r="Z13" i="133"/>
  <c r="T28" i="4" s="1"/>
  <c r="Y13" i="133"/>
  <c r="X13" i="133"/>
  <c r="W13" i="133"/>
  <c r="M28" i="4" s="1"/>
  <c r="R12" i="133"/>
  <c r="AE12" i="133"/>
  <c r="AE11" i="133"/>
  <c r="Z11" i="133"/>
  <c r="S28" i="4" s="1"/>
  <c r="Y11" i="133"/>
  <c r="X11" i="133"/>
  <c r="W11" i="133"/>
  <c r="L28" i="4" s="1"/>
  <c r="AE10" i="133"/>
  <c r="AE9" i="133"/>
  <c r="Z9" i="133"/>
  <c r="R28" i="4" s="1"/>
  <c r="Y9" i="133"/>
  <c r="X9" i="133"/>
  <c r="AD28" i="4" s="1"/>
  <c r="W9" i="133"/>
  <c r="K28" i="4" s="1"/>
  <c r="R8" i="133"/>
  <c r="AE8" i="133"/>
  <c r="R7" i="133"/>
  <c r="AE7" i="133"/>
  <c r="AA7" i="133"/>
  <c r="AB28" i="4" s="1"/>
  <c r="Z7" i="133"/>
  <c r="Q28" i="4" s="1"/>
  <c r="Y7" i="133"/>
  <c r="X7" i="133"/>
  <c r="W7" i="133"/>
  <c r="J28" i="4" s="1"/>
  <c r="R6" i="133"/>
  <c r="AE6" i="133"/>
  <c r="R5" i="133"/>
  <c r="AE5" i="133"/>
  <c r="AA5" i="133"/>
  <c r="AA28" i="4" s="1"/>
  <c r="Z5" i="133"/>
  <c r="P28" i="4" s="1"/>
  <c r="Y5" i="133"/>
  <c r="H28" i="4" s="1"/>
  <c r="X5" i="133"/>
  <c r="W5" i="133"/>
  <c r="R4" i="133"/>
  <c r="AE4" i="133"/>
  <c r="R3" i="133"/>
  <c r="W42" i="132"/>
  <c r="W41" i="132"/>
  <c r="X40" i="132"/>
  <c r="W40" i="132"/>
  <c r="R44" i="132"/>
  <c r="G27" i="4" s="1"/>
  <c r="AE35" i="132"/>
  <c r="Y35" i="132"/>
  <c r="AE34" i="132"/>
  <c r="AE33" i="132"/>
  <c r="Y33" i="132"/>
  <c r="R38" i="132"/>
  <c r="AE32" i="132"/>
  <c r="R37" i="132"/>
  <c r="AE31" i="132"/>
  <c r="Y31" i="132"/>
  <c r="AE30" i="132"/>
  <c r="AE29" i="132"/>
  <c r="Y29" i="132"/>
  <c r="AE28" i="132"/>
  <c r="R29" i="132"/>
  <c r="AE27" i="132"/>
  <c r="Y27" i="132"/>
  <c r="AE26" i="132"/>
  <c r="R28" i="132"/>
  <c r="AE25" i="132"/>
  <c r="Z25" i="132"/>
  <c r="Z27" i="4" s="1"/>
  <c r="Y25" i="132"/>
  <c r="R27" i="132"/>
  <c r="AE24" i="132"/>
  <c r="R26" i="132"/>
  <c r="AE23" i="132"/>
  <c r="Z23" i="132"/>
  <c r="Y27" i="4" s="1"/>
  <c r="Y23" i="132"/>
  <c r="R25" i="132"/>
  <c r="AE22" i="132"/>
  <c r="R24" i="132"/>
  <c r="AE21" i="132"/>
  <c r="Z21" i="132"/>
  <c r="X27" i="4" s="1"/>
  <c r="Y21" i="132"/>
  <c r="AE20" i="132"/>
  <c r="R23" i="132"/>
  <c r="AE19" i="132"/>
  <c r="Z19" i="132"/>
  <c r="W27" i="4" s="1"/>
  <c r="Y19" i="132"/>
  <c r="R22" i="132"/>
  <c r="AE18" i="132"/>
  <c r="R21" i="132"/>
  <c r="AE17" i="132"/>
  <c r="Z17" i="132"/>
  <c r="V27" i="4" s="1"/>
  <c r="Y17" i="132"/>
  <c r="X17" i="132"/>
  <c r="W17" i="132"/>
  <c r="O27" i="4" s="1"/>
  <c r="R19" i="132"/>
  <c r="AE16" i="132"/>
  <c r="R18" i="132"/>
  <c r="AE15" i="132"/>
  <c r="Z15" i="132"/>
  <c r="U27" i="4" s="1"/>
  <c r="Y15" i="132"/>
  <c r="X15" i="132"/>
  <c r="W15" i="132"/>
  <c r="N27" i="4" s="1"/>
  <c r="R14" i="132"/>
  <c r="AE14" i="132"/>
  <c r="R13" i="132"/>
  <c r="AE13" i="132"/>
  <c r="Z13" i="132"/>
  <c r="T27" i="4" s="1"/>
  <c r="Y13" i="132"/>
  <c r="X13" i="132"/>
  <c r="W13" i="132"/>
  <c r="M27" i="4" s="1"/>
  <c r="R12" i="132"/>
  <c r="AE12" i="132"/>
  <c r="AE11" i="132"/>
  <c r="Z11" i="132"/>
  <c r="S27" i="4" s="1"/>
  <c r="Y11" i="132"/>
  <c r="X11" i="132"/>
  <c r="W11" i="132"/>
  <c r="L27" i="4" s="1"/>
  <c r="AE10" i="132"/>
  <c r="AE9" i="132"/>
  <c r="Z9" i="132"/>
  <c r="R27" i="4" s="1"/>
  <c r="Y9" i="132"/>
  <c r="X9" i="132"/>
  <c r="AD27" i="4" s="1"/>
  <c r="W9" i="132"/>
  <c r="K27" i="4" s="1"/>
  <c r="R8" i="132"/>
  <c r="AE8" i="132"/>
  <c r="R7" i="132"/>
  <c r="AE7" i="132"/>
  <c r="AA7" i="132"/>
  <c r="AB27" i="4" s="1"/>
  <c r="Z7" i="132"/>
  <c r="Q27" i="4" s="1"/>
  <c r="Y7" i="132"/>
  <c r="X7" i="132"/>
  <c r="W7" i="132"/>
  <c r="J27" i="4" s="1"/>
  <c r="R6" i="132"/>
  <c r="AE6" i="132"/>
  <c r="R5" i="132"/>
  <c r="AE5" i="132"/>
  <c r="AA5" i="132"/>
  <c r="AA27" i="4" s="1"/>
  <c r="Z5" i="132"/>
  <c r="P27" i="4" s="1"/>
  <c r="Y5" i="132"/>
  <c r="H27" i="4" s="1"/>
  <c r="X5" i="132"/>
  <c r="W5" i="132"/>
  <c r="R4" i="132"/>
  <c r="AE4" i="132"/>
  <c r="R3" i="132"/>
  <c r="W42" i="131"/>
  <c r="W41" i="131"/>
  <c r="X40" i="131"/>
  <c r="W40" i="131"/>
  <c r="R44" i="131"/>
  <c r="G26" i="4" s="1"/>
  <c r="AE35" i="131"/>
  <c r="Y35" i="131"/>
  <c r="AE34" i="131"/>
  <c r="AE33" i="131"/>
  <c r="Y33" i="131"/>
  <c r="R38" i="131"/>
  <c r="AE32" i="131"/>
  <c r="R37" i="131"/>
  <c r="AE31" i="131"/>
  <c r="Y31" i="131"/>
  <c r="AE30" i="131"/>
  <c r="AE29" i="131"/>
  <c r="Y29" i="131"/>
  <c r="AE28" i="131"/>
  <c r="R29" i="131"/>
  <c r="AE27" i="131"/>
  <c r="Y27" i="131"/>
  <c r="AE26" i="131"/>
  <c r="R28" i="131"/>
  <c r="AE25" i="131"/>
  <c r="Z25" i="131"/>
  <c r="Z26" i="4" s="1"/>
  <c r="Y25" i="131"/>
  <c r="R27" i="131"/>
  <c r="AE24" i="131"/>
  <c r="R26" i="131"/>
  <c r="AE23" i="131"/>
  <c r="Z23" i="131"/>
  <c r="Y26" i="4" s="1"/>
  <c r="Y23" i="131"/>
  <c r="R25" i="131"/>
  <c r="AE22" i="131"/>
  <c r="R24" i="131"/>
  <c r="AE21" i="131"/>
  <c r="Z21" i="131"/>
  <c r="X26" i="4" s="1"/>
  <c r="Y21" i="131"/>
  <c r="AE20" i="131"/>
  <c r="R23" i="131"/>
  <c r="AE19" i="131"/>
  <c r="Z19" i="131"/>
  <c r="W26" i="4" s="1"/>
  <c r="Y19" i="131"/>
  <c r="R22" i="131"/>
  <c r="AE18" i="131"/>
  <c r="R21" i="131"/>
  <c r="AE17" i="131"/>
  <c r="Z17" i="131"/>
  <c r="V26" i="4" s="1"/>
  <c r="Y17" i="131"/>
  <c r="X17" i="131"/>
  <c r="W17" i="131"/>
  <c r="O26" i="4" s="1"/>
  <c r="R19" i="131"/>
  <c r="AE16" i="131"/>
  <c r="R18" i="131"/>
  <c r="AE15" i="131"/>
  <c r="Z15" i="131"/>
  <c r="U26" i="4" s="1"/>
  <c r="Y15" i="131"/>
  <c r="X15" i="131"/>
  <c r="W15" i="131"/>
  <c r="N26" i="4" s="1"/>
  <c r="R14" i="131"/>
  <c r="AE14" i="131"/>
  <c r="R13" i="131"/>
  <c r="AE13" i="131"/>
  <c r="Z13" i="131"/>
  <c r="T26" i="4" s="1"/>
  <c r="Y13" i="131"/>
  <c r="X13" i="131"/>
  <c r="W13" i="131"/>
  <c r="M26" i="4" s="1"/>
  <c r="R12" i="131"/>
  <c r="AE12" i="131"/>
  <c r="AE11" i="131"/>
  <c r="Z11" i="131"/>
  <c r="S26" i="4" s="1"/>
  <c r="Y11" i="131"/>
  <c r="X11" i="131"/>
  <c r="W11" i="131"/>
  <c r="L26" i="4" s="1"/>
  <c r="AE10" i="131"/>
  <c r="AE9" i="131"/>
  <c r="Z9" i="131"/>
  <c r="R26" i="4" s="1"/>
  <c r="Y9" i="131"/>
  <c r="X9" i="131"/>
  <c r="AD26" i="4" s="1"/>
  <c r="W9" i="131"/>
  <c r="K26" i="4" s="1"/>
  <c r="R8" i="131"/>
  <c r="AE8" i="131"/>
  <c r="R7" i="131"/>
  <c r="AE7" i="131"/>
  <c r="AA7" i="131"/>
  <c r="AB26" i="4" s="1"/>
  <c r="Z7" i="131"/>
  <c r="Q26" i="4" s="1"/>
  <c r="Y7" i="131"/>
  <c r="X7" i="131"/>
  <c r="W7" i="131"/>
  <c r="J26" i="4" s="1"/>
  <c r="R6" i="131"/>
  <c r="AE6" i="131"/>
  <c r="R5" i="131"/>
  <c r="AE5" i="131"/>
  <c r="AA5" i="131"/>
  <c r="AA26" i="4" s="1"/>
  <c r="Z5" i="131"/>
  <c r="P26" i="4" s="1"/>
  <c r="Y5" i="131"/>
  <c r="H26" i="4" s="1"/>
  <c r="X5" i="131"/>
  <c r="W5" i="131"/>
  <c r="R4" i="131"/>
  <c r="AE4" i="131"/>
  <c r="R3" i="131"/>
  <c r="W42" i="130"/>
  <c r="W41" i="130"/>
  <c r="X40" i="130"/>
  <c r="W40" i="130"/>
  <c r="R44" i="130"/>
  <c r="G25" i="4" s="1"/>
  <c r="AE35" i="130"/>
  <c r="Y35" i="130"/>
  <c r="AE34" i="130"/>
  <c r="AE33" i="130"/>
  <c r="Y33" i="130"/>
  <c r="R38" i="130"/>
  <c r="AE32" i="130"/>
  <c r="R37" i="130"/>
  <c r="AE31" i="130"/>
  <c r="Y31" i="130"/>
  <c r="AE30" i="130"/>
  <c r="AE29" i="130"/>
  <c r="Y29" i="130"/>
  <c r="AE28" i="130"/>
  <c r="R29" i="130"/>
  <c r="AE27" i="130"/>
  <c r="Y27" i="130"/>
  <c r="AE26" i="130"/>
  <c r="R28" i="130"/>
  <c r="AE25" i="130"/>
  <c r="Z25" i="130"/>
  <c r="Z25" i="4" s="1"/>
  <c r="Y25" i="130"/>
  <c r="R27" i="130"/>
  <c r="AE24" i="130"/>
  <c r="R26" i="130"/>
  <c r="AE23" i="130"/>
  <c r="Z23" i="130"/>
  <c r="Y25" i="4" s="1"/>
  <c r="Y23" i="130"/>
  <c r="R25" i="130"/>
  <c r="AE22" i="130"/>
  <c r="R24" i="130"/>
  <c r="AE21" i="130"/>
  <c r="Z21" i="130"/>
  <c r="X25" i="4" s="1"/>
  <c r="Y21" i="130"/>
  <c r="AE20" i="130"/>
  <c r="R23" i="130"/>
  <c r="AE19" i="130"/>
  <c r="Z19" i="130"/>
  <c r="W25" i="4" s="1"/>
  <c r="Y19" i="130"/>
  <c r="R22" i="130"/>
  <c r="AE18" i="130"/>
  <c r="R21" i="130"/>
  <c r="AE17" i="130"/>
  <c r="Z17" i="130"/>
  <c r="V25" i="4" s="1"/>
  <c r="Y17" i="130"/>
  <c r="X17" i="130"/>
  <c r="W17" i="130"/>
  <c r="O25" i="4" s="1"/>
  <c r="R19" i="130"/>
  <c r="AE16" i="130"/>
  <c r="R18" i="130"/>
  <c r="AE15" i="130"/>
  <c r="Z15" i="130"/>
  <c r="U25" i="4" s="1"/>
  <c r="Y15" i="130"/>
  <c r="X15" i="130"/>
  <c r="W15" i="130"/>
  <c r="N25" i="4" s="1"/>
  <c r="R14" i="130"/>
  <c r="AE14" i="130"/>
  <c r="R13" i="130"/>
  <c r="AE13" i="130"/>
  <c r="Z13" i="130"/>
  <c r="T25" i="4" s="1"/>
  <c r="Y13" i="130"/>
  <c r="X13" i="130"/>
  <c r="W13" i="130"/>
  <c r="M25" i="4" s="1"/>
  <c r="R12" i="130"/>
  <c r="AE12" i="130"/>
  <c r="AE11" i="130"/>
  <c r="Z11" i="130"/>
  <c r="S25" i="4" s="1"/>
  <c r="Y11" i="130"/>
  <c r="X11" i="130"/>
  <c r="W11" i="130"/>
  <c r="L25" i="4" s="1"/>
  <c r="AE10" i="130"/>
  <c r="AE9" i="130"/>
  <c r="Z9" i="130"/>
  <c r="R25" i="4" s="1"/>
  <c r="Y9" i="130"/>
  <c r="X9" i="130"/>
  <c r="AD25" i="4" s="1"/>
  <c r="W9" i="130"/>
  <c r="K25" i="4" s="1"/>
  <c r="R8" i="130"/>
  <c r="AE8" i="130"/>
  <c r="R7" i="130"/>
  <c r="AE7" i="130"/>
  <c r="AA7" i="130"/>
  <c r="AB25" i="4" s="1"/>
  <c r="Z7" i="130"/>
  <c r="Q25" i="4" s="1"/>
  <c r="Y7" i="130"/>
  <c r="X7" i="130"/>
  <c r="W7" i="130"/>
  <c r="J25" i="4" s="1"/>
  <c r="R6" i="130"/>
  <c r="AE6" i="130"/>
  <c r="R5" i="130"/>
  <c r="AE5" i="130"/>
  <c r="AA5" i="130"/>
  <c r="AA25" i="4" s="1"/>
  <c r="Z5" i="130"/>
  <c r="P25" i="4" s="1"/>
  <c r="Y5" i="130"/>
  <c r="H25" i="4" s="1"/>
  <c r="X5" i="130"/>
  <c r="W5" i="130"/>
  <c r="R4" i="130"/>
  <c r="AE4" i="130"/>
  <c r="R3" i="130"/>
  <c r="W42" i="129"/>
  <c r="W41" i="129"/>
  <c r="X40" i="129"/>
  <c r="W40" i="129"/>
  <c r="R44" i="129"/>
  <c r="G24" i="4" s="1"/>
  <c r="AE35" i="129"/>
  <c r="Y35" i="129"/>
  <c r="AE34" i="129"/>
  <c r="AE33" i="129"/>
  <c r="Y33" i="129"/>
  <c r="R38" i="129"/>
  <c r="AE32" i="129"/>
  <c r="R37" i="129"/>
  <c r="AE31" i="129"/>
  <c r="Y31" i="129"/>
  <c r="AE30" i="129"/>
  <c r="AE29" i="129"/>
  <c r="Y29" i="129"/>
  <c r="AE28" i="129"/>
  <c r="R29" i="129"/>
  <c r="AE27" i="129"/>
  <c r="Y27" i="129"/>
  <c r="AE26" i="129"/>
  <c r="R28" i="129"/>
  <c r="AE25" i="129"/>
  <c r="Z25" i="129"/>
  <c r="Z24" i="4" s="1"/>
  <c r="Y25" i="129"/>
  <c r="R27" i="129"/>
  <c r="AE24" i="129"/>
  <c r="R26" i="129"/>
  <c r="AE23" i="129"/>
  <c r="Z23" i="129"/>
  <c r="Y24" i="4" s="1"/>
  <c r="Y23" i="129"/>
  <c r="R25" i="129"/>
  <c r="AE22" i="129"/>
  <c r="R24" i="129"/>
  <c r="AE21" i="129"/>
  <c r="Z21" i="129"/>
  <c r="X24" i="4" s="1"/>
  <c r="Y21" i="129"/>
  <c r="AE20" i="129"/>
  <c r="R23" i="129"/>
  <c r="AE19" i="129"/>
  <c r="Z19" i="129"/>
  <c r="W24" i="4" s="1"/>
  <c r="Y19" i="129"/>
  <c r="R22" i="129"/>
  <c r="AE18" i="129"/>
  <c r="R21" i="129"/>
  <c r="AE17" i="129"/>
  <c r="Z17" i="129"/>
  <c r="V24" i="4" s="1"/>
  <c r="Y17" i="129"/>
  <c r="X17" i="129"/>
  <c r="W17" i="129"/>
  <c r="O24" i="4" s="1"/>
  <c r="R19" i="129"/>
  <c r="AE16" i="129"/>
  <c r="R18" i="129"/>
  <c r="AE15" i="129"/>
  <c r="Z15" i="129"/>
  <c r="U24" i="4" s="1"/>
  <c r="Y15" i="129"/>
  <c r="X15" i="129"/>
  <c r="W15" i="129"/>
  <c r="N24" i="4" s="1"/>
  <c r="R14" i="129"/>
  <c r="AE14" i="129"/>
  <c r="R13" i="129"/>
  <c r="AE13" i="129"/>
  <c r="Z13" i="129"/>
  <c r="T24" i="4" s="1"/>
  <c r="Y13" i="129"/>
  <c r="X13" i="129"/>
  <c r="W13" i="129"/>
  <c r="M24" i="4" s="1"/>
  <c r="R12" i="129"/>
  <c r="AE12" i="129"/>
  <c r="AE11" i="129"/>
  <c r="Z11" i="129"/>
  <c r="S24" i="4" s="1"/>
  <c r="Y11" i="129"/>
  <c r="X11" i="129"/>
  <c r="W11" i="129"/>
  <c r="L24" i="4" s="1"/>
  <c r="AE10" i="129"/>
  <c r="AE9" i="129"/>
  <c r="Z9" i="129"/>
  <c r="R24" i="4" s="1"/>
  <c r="Y9" i="129"/>
  <c r="X9" i="129"/>
  <c r="AD24" i="4" s="1"/>
  <c r="W9" i="129"/>
  <c r="K24" i="4" s="1"/>
  <c r="R8" i="129"/>
  <c r="AE8" i="129"/>
  <c r="R7" i="129"/>
  <c r="AE7" i="129"/>
  <c r="AA7" i="129"/>
  <c r="AB24" i="4" s="1"/>
  <c r="Z7" i="129"/>
  <c r="Q24" i="4" s="1"/>
  <c r="Y7" i="129"/>
  <c r="X7" i="129"/>
  <c r="W7" i="129"/>
  <c r="J24" i="4" s="1"/>
  <c r="R6" i="129"/>
  <c r="AE6" i="129"/>
  <c r="R5" i="129"/>
  <c r="AE5" i="129"/>
  <c r="AA5" i="129"/>
  <c r="AA24" i="4" s="1"/>
  <c r="Z5" i="129"/>
  <c r="P24" i="4" s="1"/>
  <c r="Y5" i="129"/>
  <c r="H24" i="4" s="1"/>
  <c r="X5" i="129"/>
  <c r="W5" i="129"/>
  <c r="R4" i="129"/>
  <c r="AE4" i="129"/>
  <c r="R3" i="129"/>
  <c r="W42" i="128"/>
  <c r="W41" i="128"/>
  <c r="X40" i="128"/>
  <c r="W40" i="128"/>
  <c r="R44" i="128"/>
  <c r="G23" i="4" s="1"/>
  <c r="AE35" i="128"/>
  <c r="Y35" i="128"/>
  <c r="AE34" i="128"/>
  <c r="AE33" i="128"/>
  <c r="Y33" i="128"/>
  <c r="R38" i="128"/>
  <c r="AE32" i="128"/>
  <c r="R37" i="128"/>
  <c r="AE31" i="128"/>
  <c r="Y31" i="128"/>
  <c r="AE30" i="128"/>
  <c r="AE29" i="128"/>
  <c r="Y29" i="128"/>
  <c r="AE28" i="128"/>
  <c r="R29" i="128"/>
  <c r="AE27" i="128"/>
  <c r="Y27" i="128"/>
  <c r="AE26" i="128"/>
  <c r="R28" i="128"/>
  <c r="AE25" i="128"/>
  <c r="Z25" i="128"/>
  <c r="Z23" i="4" s="1"/>
  <c r="Y25" i="128"/>
  <c r="R27" i="128"/>
  <c r="AE24" i="128"/>
  <c r="R26" i="128"/>
  <c r="AE23" i="128"/>
  <c r="Z23" i="128"/>
  <c r="Y23" i="4" s="1"/>
  <c r="Y23" i="128"/>
  <c r="R25" i="128"/>
  <c r="AE22" i="128"/>
  <c r="R24" i="128"/>
  <c r="AE21" i="128"/>
  <c r="Z21" i="128"/>
  <c r="X23" i="4" s="1"/>
  <c r="Y21" i="128"/>
  <c r="AE20" i="128"/>
  <c r="R23" i="128"/>
  <c r="AE19" i="128"/>
  <c r="Z19" i="128"/>
  <c r="W23" i="4" s="1"/>
  <c r="Y19" i="128"/>
  <c r="R22" i="128"/>
  <c r="AE18" i="128"/>
  <c r="R21" i="128"/>
  <c r="AE17" i="128"/>
  <c r="Z17" i="128"/>
  <c r="V23" i="4" s="1"/>
  <c r="Y17" i="128"/>
  <c r="X17" i="128"/>
  <c r="W17" i="128"/>
  <c r="O23" i="4" s="1"/>
  <c r="R19" i="128"/>
  <c r="AE16" i="128"/>
  <c r="R18" i="128"/>
  <c r="AE15" i="128"/>
  <c r="Z15" i="128"/>
  <c r="U23" i="4" s="1"/>
  <c r="Y15" i="128"/>
  <c r="X15" i="128"/>
  <c r="W15" i="128"/>
  <c r="N23" i="4" s="1"/>
  <c r="R14" i="128"/>
  <c r="AE14" i="128"/>
  <c r="R13" i="128"/>
  <c r="AE13" i="128"/>
  <c r="Z13" i="128"/>
  <c r="T23" i="4" s="1"/>
  <c r="Y13" i="128"/>
  <c r="X13" i="128"/>
  <c r="W13" i="128"/>
  <c r="M23" i="4" s="1"/>
  <c r="R12" i="128"/>
  <c r="AE12" i="128"/>
  <c r="AE11" i="128"/>
  <c r="Z11" i="128"/>
  <c r="S23" i="4" s="1"/>
  <c r="Y11" i="128"/>
  <c r="X11" i="128"/>
  <c r="W11" i="128"/>
  <c r="L23" i="4" s="1"/>
  <c r="AE10" i="128"/>
  <c r="AE9" i="128"/>
  <c r="Z9" i="128"/>
  <c r="R23" i="4" s="1"/>
  <c r="Y9" i="128"/>
  <c r="X9" i="128"/>
  <c r="AD23" i="4" s="1"/>
  <c r="W9" i="128"/>
  <c r="K23" i="4" s="1"/>
  <c r="R8" i="128"/>
  <c r="AE8" i="128"/>
  <c r="R7" i="128"/>
  <c r="AE7" i="128"/>
  <c r="AA7" i="128"/>
  <c r="AB23" i="4" s="1"/>
  <c r="Z7" i="128"/>
  <c r="Q23" i="4" s="1"/>
  <c r="Y7" i="128"/>
  <c r="X7" i="128"/>
  <c r="W7" i="128"/>
  <c r="J23" i="4" s="1"/>
  <c r="R6" i="128"/>
  <c r="AE6" i="128"/>
  <c r="R5" i="128"/>
  <c r="AE5" i="128"/>
  <c r="AA5" i="128"/>
  <c r="AA23" i="4" s="1"/>
  <c r="Z5" i="128"/>
  <c r="P23" i="4" s="1"/>
  <c r="Y5" i="128"/>
  <c r="H23" i="4" s="1"/>
  <c r="X5" i="128"/>
  <c r="W5" i="128"/>
  <c r="R4" i="128"/>
  <c r="AE4" i="128"/>
  <c r="R3" i="128"/>
  <c r="W42" i="127"/>
  <c r="W41" i="127"/>
  <c r="X40" i="127"/>
  <c r="W40" i="127"/>
  <c r="R44" i="127"/>
  <c r="G22" i="4" s="1"/>
  <c r="AE35" i="127"/>
  <c r="Y35" i="127"/>
  <c r="AE34" i="127"/>
  <c r="AE33" i="127"/>
  <c r="Y33" i="127"/>
  <c r="R38" i="127"/>
  <c r="AE32" i="127"/>
  <c r="R37" i="127"/>
  <c r="AE31" i="127"/>
  <c r="Y31" i="127"/>
  <c r="AE30" i="127"/>
  <c r="AE29" i="127"/>
  <c r="Y29" i="127"/>
  <c r="AE28" i="127"/>
  <c r="R29" i="127"/>
  <c r="AE27" i="127"/>
  <c r="Y27" i="127"/>
  <c r="AE26" i="127"/>
  <c r="R28" i="127"/>
  <c r="AE25" i="127"/>
  <c r="Z25" i="127"/>
  <c r="Z22" i="4" s="1"/>
  <c r="Y25" i="127"/>
  <c r="R27" i="127"/>
  <c r="AE24" i="127"/>
  <c r="R26" i="127"/>
  <c r="AE23" i="127"/>
  <c r="Z23" i="127"/>
  <c r="Y22" i="4" s="1"/>
  <c r="Y23" i="127"/>
  <c r="R25" i="127"/>
  <c r="AE22" i="127"/>
  <c r="R24" i="127"/>
  <c r="AE21" i="127"/>
  <c r="Z21" i="127"/>
  <c r="X22" i="4" s="1"/>
  <c r="Y21" i="127"/>
  <c r="AE20" i="127"/>
  <c r="R23" i="127"/>
  <c r="AE19" i="127"/>
  <c r="Z19" i="127"/>
  <c r="W22" i="4" s="1"/>
  <c r="Y19" i="127"/>
  <c r="R22" i="127"/>
  <c r="AE18" i="127"/>
  <c r="R21" i="127"/>
  <c r="AE17" i="127"/>
  <c r="Z17" i="127"/>
  <c r="V22" i="4" s="1"/>
  <c r="Y17" i="127"/>
  <c r="X17" i="127"/>
  <c r="W17" i="127"/>
  <c r="O22" i="4" s="1"/>
  <c r="R19" i="127"/>
  <c r="AE16" i="127"/>
  <c r="R18" i="127"/>
  <c r="AE15" i="127"/>
  <c r="Z15" i="127"/>
  <c r="U22" i="4" s="1"/>
  <c r="Y15" i="127"/>
  <c r="X15" i="127"/>
  <c r="W15" i="127"/>
  <c r="N22" i="4" s="1"/>
  <c r="R14" i="127"/>
  <c r="AE14" i="127"/>
  <c r="R13" i="127"/>
  <c r="AE13" i="127"/>
  <c r="Z13" i="127"/>
  <c r="T22" i="4" s="1"/>
  <c r="Y13" i="127"/>
  <c r="X13" i="127"/>
  <c r="W13" i="127"/>
  <c r="M22" i="4" s="1"/>
  <c r="R12" i="127"/>
  <c r="AE12" i="127"/>
  <c r="AE11" i="127"/>
  <c r="Z11" i="127"/>
  <c r="S22" i="4" s="1"/>
  <c r="Y11" i="127"/>
  <c r="X11" i="127"/>
  <c r="W11" i="127"/>
  <c r="L22" i="4" s="1"/>
  <c r="AE10" i="127"/>
  <c r="AE9" i="127"/>
  <c r="Z9" i="127"/>
  <c r="R22" i="4" s="1"/>
  <c r="Y9" i="127"/>
  <c r="X9" i="127"/>
  <c r="AD22" i="4" s="1"/>
  <c r="W9" i="127"/>
  <c r="K22" i="4" s="1"/>
  <c r="R8" i="127"/>
  <c r="AE8" i="127"/>
  <c r="R7" i="127"/>
  <c r="AE7" i="127"/>
  <c r="AA7" i="127"/>
  <c r="AB22" i="4" s="1"/>
  <c r="Z7" i="127"/>
  <c r="Q22" i="4" s="1"/>
  <c r="Y7" i="127"/>
  <c r="X7" i="127"/>
  <c r="W7" i="127"/>
  <c r="J22" i="4" s="1"/>
  <c r="R6" i="127"/>
  <c r="AE6" i="127"/>
  <c r="R5" i="127"/>
  <c r="AE5" i="127"/>
  <c r="AA5" i="127"/>
  <c r="AA22" i="4" s="1"/>
  <c r="Z5" i="127"/>
  <c r="P22" i="4" s="1"/>
  <c r="Y5" i="127"/>
  <c r="H22" i="4" s="1"/>
  <c r="X5" i="127"/>
  <c r="W5" i="127"/>
  <c r="R4" i="127"/>
  <c r="AE4" i="127"/>
  <c r="R3" i="127"/>
  <c r="W42" i="126"/>
  <c r="W41" i="126"/>
  <c r="X40" i="126"/>
  <c r="W40" i="126"/>
  <c r="R44" i="126"/>
  <c r="G21" i="4" s="1"/>
  <c r="AE35" i="126"/>
  <c r="Y35" i="126"/>
  <c r="AE34" i="126"/>
  <c r="AE33" i="126"/>
  <c r="Y33" i="126"/>
  <c r="R38" i="126"/>
  <c r="AE32" i="126"/>
  <c r="R37" i="126"/>
  <c r="AE31" i="126"/>
  <c r="Y31" i="126"/>
  <c r="AE30" i="126"/>
  <c r="AE29" i="126"/>
  <c r="Y29" i="126"/>
  <c r="AE28" i="126"/>
  <c r="R29" i="126"/>
  <c r="AE27" i="126"/>
  <c r="Y27" i="126"/>
  <c r="AE26" i="126"/>
  <c r="R28" i="126"/>
  <c r="AE25" i="126"/>
  <c r="Z25" i="126"/>
  <c r="Z21" i="4" s="1"/>
  <c r="Y25" i="126"/>
  <c r="R27" i="126"/>
  <c r="AE24" i="126"/>
  <c r="R26" i="126"/>
  <c r="AE23" i="126"/>
  <c r="Z23" i="126"/>
  <c r="Y21" i="4" s="1"/>
  <c r="Y23" i="126"/>
  <c r="R25" i="126"/>
  <c r="AE22" i="126"/>
  <c r="R24" i="126"/>
  <c r="AE21" i="126"/>
  <c r="Z21" i="126"/>
  <c r="X21" i="4" s="1"/>
  <c r="Y21" i="126"/>
  <c r="AE20" i="126"/>
  <c r="R23" i="126"/>
  <c r="AE19" i="126"/>
  <c r="Z19" i="126"/>
  <c r="W21" i="4" s="1"/>
  <c r="Y19" i="126"/>
  <c r="R22" i="126"/>
  <c r="AE18" i="126"/>
  <c r="R21" i="126"/>
  <c r="AE17" i="126"/>
  <c r="Z17" i="126"/>
  <c r="V21" i="4" s="1"/>
  <c r="Y17" i="126"/>
  <c r="X17" i="126"/>
  <c r="W17" i="126"/>
  <c r="O21" i="4" s="1"/>
  <c r="R19" i="126"/>
  <c r="AE16" i="126"/>
  <c r="R18" i="126"/>
  <c r="AE15" i="126"/>
  <c r="Z15" i="126"/>
  <c r="U21" i="4" s="1"/>
  <c r="Y15" i="126"/>
  <c r="X15" i="126"/>
  <c r="W15" i="126"/>
  <c r="N21" i="4" s="1"/>
  <c r="R14" i="126"/>
  <c r="AE14" i="126"/>
  <c r="R13" i="126"/>
  <c r="AE13" i="126"/>
  <c r="Z13" i="126"/>
  <c r="T21" i="4" s="1"/>
  <c r="Y13" i="126"/>
  <c r="X13" i="126"/>
  <c r="W13" i="126"/>
  <c r="M21" i="4" s="1"/>
  <c r="R12" i="126"/>
  <c r="AE12" i="126"/>
  <c r="AE11" i="126"/>
  <c r="Z11" i="126"/>
  <c r="S21" i="4" s="1"/>
  <c r="Y11" i="126"/>
  <c r="X11" i="126"/>
  <c r="W11" i="126"/>
  <c r="L21" i="4" s="1"/>
  <c r="AE10" i="126"/>
  <c r="AE9" i="126"/>
  <c r="Z9" i="126"/>
  <c r="R21" i="4" s="1"/>
  <c r="Y9" i="126"/>
  <c r="X9" i="126"/>
  <c r="AD21" i="4" s="1"/>
  <c r="W9" i="126"/>
  <c r="K21" i="4" s="1"/>
  <c r="R8" i="126"/>
  <c r="AE8" i="126"/>
  <c r="R7" i="126"/>
  <c r="AE7" i="126"/>
  <c r="AA7" i="126"/>
  <c r="AB21" i="4" s="1"/>
  <c r="Z7" i="126"/>
  <c r="Q21" i="4" s="1"/>
  <c r="Y7" i="126"/>
  <c r="X7" i="126"/>
  <c r="W7" i="126"/>
  <c r="J21" i="4" s="1"/>
  <c r="R6" i="126"/>
  <c r="AE6" i="126"/>
  <c r="R5" i="126"/>
  <c r="AE5" i="126"/>
  <c r="AA5" i="126"/>
  <c r="AA21" i="4" s="1"/>
  <c r="Z5" i="126"/>
  <c r="P21" i="4" s="1"/>
  <c r="Y5" i="126"/>
  <c r="H21" i="4" s="1"/>
  <c r="X5" i="126"/>
  <c r="W5" i="126"/>
  <c r="R4" i="126"/>
  <c r="AE4" i="126"/>
  <c r="R3" i="126"/>
  <c r="W42" i="125"/>
  <c r="W41" i="125"/>
  <c r="X40" i="125"/>
  <c r="W40" i="125"/>
  <c r="R44" i="125"/>
  <c r="G20" i="4" s="1"/>
  <c r="AE35" i="125"/>
  <c r="Y35" i="125"/>
  <c r="AE34" i="125"/>
  <c r="AE33" i="125"/>
  <c r="Y33" i="125"/>
  <c r="R38" i="125"/>
  <c r="AE32" i="125"/>
  <c r="R37" i="125"/>
  <c r="AE31" i="125"/>
  <c r="Y31" i="125"/>
  <c r="AE30" i="125"/>
  <c r="AE29" i="125"/>
  <c r="Y29" i="125"/>
  <c r="AE28" i="125"/>
  <c r="R29" i="125"/>
  <c r="AE27" i="125"/>
  <c r="Y27" i="125"/>
  <c r="AE26" i="125"/>
  <c r="R28" i="125"/>
  <c r="AE25" i="125"/>
  <c r="Z25" i="125"/>
  <c r="Z20" i="4" s="1"/>
  <c r="Y25" i="125"/>
  <c r="R27" i="125"/>
  <c r="AE24" i="125"/>
  <c r="R26" i="125"/>
  <c r="AE23" i="125"/>
  <c r="Z23" i="125"/>
  <c r="Y20" i="4" s="1"/>
  <c r="Y23" i="125"/>
  <c r="R25" i="125"/>
  <c r="AE22" i="125"/>
  <c r="R24" i="125"/>
  <c r="AE21" i="125"/>
  <c r="Z21" i="125"/>
  <c r="X20" i="4" s="1"/>
  <c r="Y21" i="125"/>
  <c r="AE20" i="125"/>
  <c r="R23" i="125"/>
  <c r="AE19" i="125"/>
  <c r="Z19" i="125"/>
  <c r="W20" i="4" s="1"/>
  <c r="Y19" i="125"/>
  <c r="R22" i="125"/>
  <c r="AE18" i="125"/>
  <c r="R21" i="125"/>
  <c r="AE17" i="125"/>
  <c r="Z17" i="125"/>
  <c r="V20" i="4" s="1"/>
  <c r="Y17" i="125"/>
  <c r="X17" i="125"/>
  <c r="W17" i="125"/>
  <c r="O20" i="4" s="1"/>
  <c r="R19" i="125"/>
  <c r="AE16" i="125"/>
  <c r="R18" i="125"/>
  <c r="AE15" i="125"/>
  <c r="Z15" i="125"/>
  <c r="U20" i="4" s="1"/>
  <c r="Y15" i="125"/>
  <c r="X15" i="125"/>
  <c r="W15" i="125"/>
  <c r="N20" i="4" s="1"/>
  <c r="R14" i="125"/>
  <c r="AE14" i="125"/>
  <c r="R13" i="125"/>
  <c r="AE13" i="125"/>
  <c r="Z13" i="125"/>
  <c r="T20" i="4" s="1"/>
  <c r="Y13" i="125"/>
  <c r="X13" i="125"/>
  <c r="W13" i="125"/>
  <c r="M20" i="4" s="1"/>
  <c r="R12" i="125"/>
  <c r="AE12" i="125"/>
  <c r="AE11" i="125"/>
  <c r="Z11" i="125"/>
  <c r="S20" i="4" s="1"/>
  <c r="Y11" i="125"/>
  <c r="X11" i="125"/>
  <c r="W11" i="125"/>
  <c r="L20" i="4" s="1"/>
  <c r="AE10" i="125"/>
  <c r="AE9" i="125"/>
  <c r="Z9" i="125"/>
  <c r="R20" i="4" s="1"/>
  <c r="Y9" i="125"/>
  <c r="X9" i="125"/>
  <c r="AD20" i="4" s="1"/>
  <c r="W9" i="125"/>
  <c r="K20" i="4" s="1"/>
  <c r="R8" i="125"/>
  <c r="AE8" i="125"/>
  <c r="R7" i="125"/>
  <c r="AE7" i="125"/>
  <c r="AA7" i="125"/>
  <c r="AB20" i="4" s="1"/>
  <c r="Z7" i="125"/>
  <c r="Q20" i="4" s="1"/>
  <c r="Y7" i="125"/>
  <c r="X7" i="125"/>
  <c r="W7" i="125"/>
  <c r="J20" i="4" s="1"/>
  <c r="R6" i="125"/>
  <c r="AE6" i="125"/>
  <c r="R5" i="125"/>
  <c r="AE5" i="125"/>
  <c r="AA5" i="125"/>
  <c r="AA20" i="4" s="1"/>
  <c r="Z5" i="125"/>
  <c r="P20" i="4" s="1"/>
  <c r="Y5" i="125"/>
  <c r="H20" i="4" s="1"/>
  <c r="X5" i="125"/>
  <c r="W5" i="125"/>
  <c r="R4" i="125"/>
  <c r="AE4" i="125"/>
  <c r="R3" i="125"/>
  <c r="W42" i="124"/>
  <c r="W41" i="124"/>
  <c r="X40" i="124"/>
  <c r="W40" i="124"/>
  <c r="R44" i="124"/>
  <c r="G19" i="4" s="1"/>
  <c r="AE35" i="124"/>
  <c r="Y35" i="124"/>
  <c r="AE34" i="124"/>
  <c r="AE33" i="124"/>
  <c r="Y33" i="124"/>
  <c r="R38" i="124"/>
  <c r="AE32" i="124"/>
  <c r="R37" i="124"/>
  <c r="AE31" i="124"/>
  <c r="Y31" i="124"/>
  <c r="AE30" i="124"/>
  <c r="AE29" i="124"/>
  <c r="Y29" i="124"/>
  <c r="AE28" i="124"/>
  <c r="R29" i="124"/>
  <c r="AE27" i="124"/>
  <c r="Y27" i="124"/>
  <c r="AE26" i="124"/>
  <c r="R28" i="124"/>
  <c r="AE25" i="124"/>
  <c r="Z25" i="124"/>
  <c r="Z19" i="4" s="1"/>
  <c r="Y25" i="124"/>
  <c r="R27" i="124"/>
  <c r="AE24" i="124"/>
  <c r="R26" i="124"/>
  <c r="AE23" i="124"/>
  <c r="Z23" i="124"/>
  <c r="Y19" i="4" s="1"/>
  <c r="Y23" i="124"/>
  <c r="R25" i="124"/>
  <c r="AE22" i="124"/>
  <c r="R24" i="124"/>
  <c r="AE21" i="124"/>
  <c r="Z21" i="124"/>
  <c r="X19" i="4" s="1"/>
  <c r="Y21" i="124"/>
  <c r="AE20" i="124"/>
  <c r="R23" i="124"/>
  <c r="AE19" i="124"/>
  <c r="Z19" i="124"/>
  <c r="W19" i="4" s="1"/>
  <c r="Y19" i="124"/>
  <c r="R22" i="124"/>
  <c r="AE18" i="124"/>
  <c r="R21" i="124"/>
  <c r="AE17" i="124"/>
  <c r="Z17" i="124"/>
  <c r="V19" i="4" s="1"/>
  <c r="Y17" i="124"/>
  <c r="X17" i="124"/>
  <c r="W17" i="124"/>
  <c r="O19" i="4" s="1"/>
  <c r="R19" i="124"/>
  <c r="AE16" i="124"/>
  <c r="R18" i="124"/>
  <c r="AE15" i="124"/>
  <c r="Z15" i="124"/>
  <c r="U19" i="4" s="1"/>
  <c r="Y15" i="124"/>
  <c r="X15" i="124"/>
  <c r="W15" i="124"/>
  <c r="N19" i="4" s="1"/>
  <c r="R14" i="124"/>
  <c r="AE14" i="124"/>
  <c r="R13" i="124"/>
  <c r="AE13" i="124"/>
  <c r="Z13" i="124"/>
  <c r="T19" i="4" s="1"/>
  <c r="Y13" i="124"/>
  <c r="X13" i="124"/>
  <c r="W13" i="124"/>
  <c r="M19" i="4" s="1"/>
  <c r="R12" i="124"/>
  <c r="AE12" i="124"/>
  <c r="AE11" i="124"/>
  <c r="Z11" i="124"/>
  <c r="S19" i="4" s="1"/>
  <c r="Y11" i="124"/>
  <c r="X11" i="124"/>
  <c r="W11" i="124"/>
  <c r="L19" i="4" s="1"/>
  <c r="AE10" i="124"/>
  <c r="AE9" i="124"/>
  <c r="Z9" i="124"/>
  <c r="R19" i="4" s="1"/>
  <c r="Y9" i="124"/>
  <c r="X9" i="124"/>
  <c r="AD19" i="4" s="1"/>
  <c r="W9" i="124"/>
  <c r="K19" i="4" s="1"/>
  <c r="R8" i="124"/>
  <c r="AE8" i="124"/>
  <c r="R7" i="124"/>
  <c r="AE7" i="124"/>
  <c r="AA7" i="124"/>
  <c r="AB19" i="4" s="1"/>
  <c r="Z7" i="124"/>
  <c r="Q19" i="4" s="1"/>
  <c r="Y7" i="124"/>
  <c r="X7" i="124"/>
  <c r="W7" i="124"/>
  <c r="J19" i="4" s="1"/>
  <c r="R6" i="124"/>
  <c r="AE6" i="124"/>
  <c r="R5" i="124"/>
  <c r="AE5" i="124"/>
  <c r="AA5" i="124"/>
  <c r="AA19" i="4" s="1"/>
  <c r="Z5" i="124"/>
  <c r="P19" i="4" s="1"/>
  <c r="Y5" i="124"/>
  <c r="H19" i="4" s="1"/>
  <c r="X5" i="124"/>
  <c r="W5" i="124"/>
  <c r="R4" i="124"/>
  <c r="AE4" i="124"/>
  <c r="R3" i="124"/>
  <c r="W42" i="123"/>
  <c r="W41" i="123"/>
  <c r="X40" i="123"/>
  <c r="W40" i="123"/>
  <c r="R44" i="123"/>
  <c r="G18" i="4" s="1"/>
  <c r="AE35" i="123"/>
  <c r="Y35" i="123"/>
  <c r="AE34" i="123"/>
  <c r="AE33" i="123"/>
  <c r="Y33" i="123"/>
  <c r="R38" i="123"/>
  <c r="AE32" i="123"/>
  <c r="R37" i="123"/>
  <c r="AE31" i="123"/>
  <c r="Y31" i="123"/>
  <c r="AE30" i="123"/>
  <c r="AE29" i="123"/>
  <c r="Y29" i="123"/>
  <c r="AE28" i="123"/>
  <c r="R29" i="123"/>
  <c r="AE27" i="123"/>
  <c r="Y27" i="123"/>
  <c r="AE26" i="123"/>
  <c r="R28" i="123"/>
  <c r="AE25" i="123"/>
  <c r="Z25" i="123"/>
  <c r="Z18" i="4" s="1"/>
  <c r="Y25" i="123"/>
  <c r="R27" i="123"/>
  <c r="AE24" i="123"/>
  <c r="R26" i="123"/>
  <c r="AE23" i="123"/>
  <c r="Z23" i="123"/>
  <c r="Y18" i="4" s="1"/>
  <c r="Y23" i="123"/>
  <c r="R25" i="123"/>
  <c r="AE22" i="123"/>
  <c r="R24" i="123"/>
  <c r="AE21" i="123"/>
  <c r="Z21" i="123"/>
  <c r="X18" i="4" s="1"/>
  <c r="Y21" i="123"/>
  <c r="AE20" i="123"/>
  <c r="R23" i="123"/>
  <c r="AE19" i="123"/>
  <c r="Z19" i="123"/>
  <c r="W18" i="4" s="1"/>
  <c r="Y19" i="123"/>
  <c r="R22" i="123"/>
  <c r="AE18" i="123"/>
  <c r="R21" i="123"/>
  <c r="AE17" i="123"/>
  <c r="Z17" i="123"/>
  <c r="V18" i="4" s="1"/>
  <c r="Y17" i="123"/>
  <c r="X17" i="123"/>
  <c r="W17" i="123"/>
  <c r="O18" i="4" s="1"/>
  <c r="R19" i="123"/>
  <c r="AE16" i="123"/>
  <c r="R18" i="123"/>
  <c r="AE15" i="123"/>
  <c r="Z15" i="123"/>
  <c r="U18" i="4" s="1"/>
  <c r="Y15" i="123"/>
  <c r="X15" i="123"/>
  <c r="W15" i="123"/>
  <c r="N18" i="4" s="1"/>
  <c r="R14" i="123"/>
  <c r="AE14" i="123"/>
  <c r="R13" i="123"/>
  <c r="AE13" i="123"/>
  <c r="Z13" i="123"/>
  <c r="T18" i="4" s="1"/>
  <c r="Y13" i="123"/>
  <c r="X13" i="123"/>
  <c r="W13" i="123"/>
  <c r="M18" i="4" s="1"/>
  <c r="R12" i="123"/>
  <c r="AE12" i="123"/>
  <c r="AE11" i="123"/>
  <c r="Z11" i="123"/>
  <c r="S18" i="4" s="1"/>
  <c r="Y11" i="123"/>
  <c r="X11" i="123"/>
  <c r="W11" i="123"/>
  <c r="L18" i="4" s="1"/>
  <c r="AE10" i="123"/>
  <c r="AE9" i="123"/>
  <c r="Z9" i="123"/>
  <c r="R18" i="4" s="1"/>
  <c r="Y9" i="123"/>
  <c r="X9" i="123"/>
  <c r="AD18" i="4" s="1"/>
  <c r="W9" i="123"/>
  <c r="K18" i="4" s="1"/>
  <c r="R8" i="123"/>
  <c r="AE8" i="123"/>
  <c r="R7" i="123"/>
  <c r="AE7" i="123"/>
  <c r="AA7" i="123"/>
  <c r="AB18" i="4" s="1"/>
  <c r="Z7" i="123"/>
  <c r="Q18" i="4" s="1"/>
  <c r="Y7" i="123"/>
  <c r="X7" i="123"/>
  <c r="W7" i="123"/>
  <c r="J18" i="4" s="1"/>
  <c r="R6" i="123"/>
  <c r="AE6" i="123"/>
  <c r="R5" i="123"/>
  <c r="AE5" i="123"/>
  <c r="AA5" i="123"/>
  <c r="AA18" i="4" s="1"/>
  <c r="Z5" i="123"/>
  <c r="P18" i="4" s="1"/>
  <c r="Y5" i="123"/>
  <c r="H18" i="4" s="1"/>
  <c r="X5" i="123"/>
  <c r="W5" i="123"/>
  <c r="R4" i="123"/>
  <c r="AE4" i="123"/>
  <c r="R3" i="123"/>
  <c r="W42" i="122"/>
  <c r="W41" i="122"/>
  <c r="X40" i="122"/>
  <c r="W40" i="122"/>
  <c r="R44" i="122"/>
  <c r="G17" i="4" s="1"/>
  <c r="AE35" i="122"/>
  <c r="Y35" i="122"/>
  <c r="AE34" i="122"/>
  <c r="AE33" i="122"/>
  <c r="Y33" i="122"/>
  <c r="R38" i="122"/>
  <c r="AE32" i="122"/>
  <c r="R37" i="122"/>
  <c r="AE31" i="122"/>
  <c r="Y31" i="122"/>
  <c r="AE30" i="122"/>
  <c r="AE29" i="122"/>
  <c r="Y29" i="122"/>
  <c r="AE28" i="122"/>
  <c r="R29" i="122"/>
  <c r="AE27" i="122"/>
  <c r="Y27" i="122"/>
  <c r="AE26" i="122"/>
  <c r="R28" i="122"/>
  <c r="AE25" i="122"/>
  <c r="Z25" i="122"/>
  <c r="Z17" i="4" s="1"/>
  <c r="Y25" i="122"/>
  <c r="R27" i="122"/>
  <c r="AE24" i="122"/>
  <c r="R26" i="122"/>
  <c r="AE23" i="122"/>
  <c r="Z23" i="122"/>
  <c r="Y17" i="4" s="1"/>
  <c r="Y23" i="122"/>
  <c r="R25" i="122"/>
  <c r="AE22" i="122"/>
  <c r="R24" i="122"/>
  <c r="AE21" i="122"/>
  <c r="Z21" i="122"/>
  <c r="X17" i="4" s="1"/>
  <c r="Y21" i="122"/>
  <c r="AE20" i="122"/>
  <c r="R23" i="122"/>
  <c r="AE19" i="122"/>
  <c r="Z19" i="122"/>
  <c r="W17" i="4" s="1"/>
  <c r="Y19" i="122"/>
  <c r="R22" i="122"/>
  <c r="AE18" i="122"/>
  <c r="R21" i="122"/>
  <c r="AE17" i="122"/>
  <c r="Z17" i="122"/>
  <c r="V17" i="4" s="1"/>
  <c r="Y17" i="122"/>
  <c r="X17" i="122"/>
  <c r="W17" i="122"/>
  <c r="O17" i="4" s="1"/>
  <c r="R19" i="122"/>
  <c r="AE16" i="122"/>
  <c r="R18" i="122"/>
  <c r="AE15" i="122"/>
  <c r="Z15" i="122"/>
  <c r="U17" i="4" s="1"/>
  <c r="Y15" i="122"/>
  <c r="X15" i="122"/>
  <c r="W15" i="122"/>
  <c r="N17" i="4" s="1"/>
  <c r="R14" i="122"/>
  <c r="AE14" i="122"/>
  <c r="R13" i="122"/>
  <c r="AE13" i="122"/>
  <c r="Z13" i="122"/>
  <c r="T17" i="4" s="1"/>
  <c r="Y13" i="122"/>
  <c r="X13" i="122"/>
  <c r="W13" i="122"/>
  <c r="M17" i="4" s="1"/>
  <c r="R12" i="122"/>
  <c r="AE12" i="122"/>
  <c r="AE11" i="122"/>
  <c r="Z11" i="122"/>
  <c r="S17" i="4" s="1"/>
  <c r="Y11" i="122"/>
  <c r="X11" i="122"/>
  <c r="W11" i="122"/>
  <c r="L17" i="4" s="1"/>
  <c r="AE10" i="122"/>
  <c r="AE9" i="122"/>
  <c r="Z9" i="122"/>
  <c r="R17" i="4" s="1"/>
  <c r="Y9" i="122"/>
  <c r="X9" i="122"/>
  <c r="AD17" i="4" s="1"/>
  <c r="W9" i="122"/>
  <c r="K17" i="4" s="1"/>
  <c r="R8" i="122"/>
  <c r="AE8" i="122"/>
  <c r="R7" i="122"/>
  <c r="AE7" i="122"/>
  <c r="AA7" i="122"/>
  <c r="AB17" i="4" s="1"/>
  <c r="Z7" i="122"/>
  <c r="Q17" i="4" s="1"/>
  <c r="Y7" i="122"/>
  <c r="X7" i="122"/>
  <c r="W7" i="122"/>
  <c r="J17" i="4" s="1"/>
  <c r="R6" i="122"/>
  <c r="AE6" i="122"/>
  <c r="R5" i="122"/>
  <c r="AE5" i="122"/>
  <c r="AA5" i="122"/>
  <c r="AA17" i="4" s="1"/>
  <c r="Z5" i="122"/>
  <c r="P17" i="4" s="1"/>
  <c r="Y5" i="122"/>
  <c r="H17" i="4" s="1"/>
  <c r="X5" i="122"/>
  <c r="W5" i="122"/>
  <c r="R4" i="122"/>
  <c r="AE4" i="122"/>
  <c r="R3" i="122"/>
  <c r="W42" i="121"/>
  <c r="W41" i="121"/>
  <c r="X40" i="121"/>
  <c r="W40" i="121"/>
  <c r="R44" i="121"/>
  <c r="G16" i="4" s="1"/>
  <c r="AE35" i="121"/>
  <c r="Y35" i="121"/>
  <c r="AE34" i="121"/>
  <c r="AE33" i="121"/>
  <c r="Y33" i="121"/>
  <c r="R38" i="121"/>
  <c r="AE32" i="121"/>
  <c r="R37" i="121"/>
  <c r="AE31" i="121"/>
  <c r="Y31" i="121"/>
  <c r="AE30" i="121"/>
  <c r="AE29" i="121"/>
  <c r="Y29" i="121"/>
  <c r="AE28" i="121"/>
  <c r="R29" i="121"/>
  <c r="AE27" i="121"/>
  <c r="Y27" i="121"/>
  <c r="AE26" i="121"/>
  <c r="R28" i="121"/>
  <c r="AE25" i="121"/>
  <c r="Z25" i="121"/>
  <c r="Z16" i="4" s="1"/>
  <c r="Y25" i="121"/>
  <c r="R27" i="121"/>
  <c r="AE24" i="121"/>
  <c r="R26" i="121"/>
  <c r="AE23" i="121"/>
  <c r="Z23" i="121"/>
  <c r="Y16" i="4" s="1"/>
  <c r="Y23" i="121"/>
  <c r="R25" i="121"/>
  <c r="AE22" i="121"/>
  <c r="R24" i="121"/>
  <c r="AE21" i="121"/>
  <c r="Z21" i="121"/>
  <c r="X16" i="4" s="1"/>
  <c r="Y21" i="121"/>
  <c r="AE20" i="121"/>
  <c r="R23" i="121"/>
  <c r="AE19" i="121"/>
  <c r="Z19" i="121"/>
  <c r="W16" i="4" s="1"/>
  <c r="Y19" i="121"/>
  <c r="R22" i="121"/>
  <c r="AE18" i="121"/>
  <c r="R21" i="121"/>
  <c r="AE17" i="121"/>
  <c r="Z17" i="121"/>
  <c r="V16" i="4" s="1"/>
  <c r="Y17" i="121"/>
  <c r="X17" i="121"/>
  <c r="W17" i="121"/>
  <c r="O16" i="4" s="1"/>
  <c r="R19" i="121"/>
  <c r="AE16" i="121"/>
  <c r="R18" i="121"/>
  <c r="AE15" i="121"/>
  <c r="Z15" i="121"/>
  <c r="U16" i="4" s="1"/>
  <c r="Y15" i="121"/>
  <c r="X15" i="121"/>
  <c r="W15" i="121"/>
  <c r="N16" i="4" s="1"/>
  <c r="R14" i="121"/>
  <c r="AE14" i="121"/>
  <c r="R13" i="121"/>
  <c r="AE13" i="121"/>
  <c r="Z13" i="121"/>
  <c r="T16" i="4" s="1"/>
  <c r="Y13" i="121"/>
  <c r="X13" i="121"/>
  <c r="W13" i="121"/>
  <c r="M16" i="4" s="1"/>
  <c r="R12" i="121"/>
  <c r="AE12" i="121"/>
  <c r="AE11" i="121"/>
  <c r="Z11" i="121"/>
  <c r="S16" i="4" s="1"/>
  <c r="Y11" i="121"/>
  <c r="X11" i="121"/>
  <c r="W11" i="121"/>
  <c r="L16" i="4" s="1"/>
  <c r="AE10" i="121"/>
  <c r="AE9" i="121"/>
  <c r="Z9" i="121"/>
  <c r="R16" i="4" s="1"/>
  <c r="Y9" i="121"/>
  <c r="X9" i="121"/>
  <c r="AD16" i="4" s="1"/>
  <c r="W9" i="121"/>
  <c r="K16" i="4" s="1"/>
  <c r="R8" i="121"/>
  <c r="AE8" i="121"/>
  <c r="R7" i="121"/>
  <c r="AE7" i="121"/>
  <c r="AA7" i="121"/>
  <c r="AB16" i="4" s="1"/>
  <c r="Z7" i="121"/>
  <c r="Q16" i="4" s="1"/>
  <c r="Y7" i="121"/>
  <c r="X7" i="121"/>
  <c r="W7" i="121"/>
  <c r="J16" i="4" s="1"/>
  <c r="R6" i="121"/>
  <c r="AE6" i="121"/>
  <c r="R5" i="121"/>
  <c r="AE5" i="121"/>
  <c r="AA5" i="121"/>
  <c r="AA16" i="4" s="1"/>
  <c r="Z5" i="121"/>
  <c r="P16" i="4" s="1"/>
  <c r="Y5" i="121"/>
  <c r="H16" i="4" s="1"/>
  <c r="X5" i="121"/>
  <c r="W5" i="121"/>
  <c r="R4" i="121"/>
  <c r="AE4" i="121"/>
  <c r="R3" i="121"/>
  <c r="W42" i="120"/>
  <c r="W41" i="120"/>
  <c r="X40" i="120"/>
  <c r="W40" i="120"/>
  <c r="R44" i="120"/>
  <c r="G15" i="4" s="1"/>
  <c r="AE35" i="120"/>
  <c r="Y35" i="120"/>
  <c r="AE34" i="120"/>
  <c r="AE33" i="120"/>
  <c r="Y33" i="120"/>
  <c r="R38" i="120"/>
  <c r="AE32" i="120"/>
  <c r="R37" i="120"/>
  <c r="AE31" i="120"/>
  <c r="Y31" i="120"/>
  <c r="AE30" i="120"/>
  <c r="AE29" i="120"/>
  <c r="Y29" i="120"/>
  <c r="AE28" i="120"/>
  <c r="R29" i="120"/>
  <c r="AE27" i="120"/>
  <c r="Y27" i="120"/>
  <c r="AE26" i="120"/>
  <c r="R28" i="120"/>
  <c r="AE25" i="120"/>
  <c r="Z25" i="120"/>
  <c r="Z15" i="4" s="1"/>
  <c r="Y25" i="120"/>
  <c r="R27" i="120"/>
  <c r="AE24" i="120"/>
  <c r="R26" i="120"/>
  <c r="AE23" i="120"/>
  <c r="Z23" i="120"/>
  <c r="Y15" i="4" s="1"/>
  <c r="Y23" i="120"/>
  <c r="R25" i="120"/>
  <c r="AE22" i="120"/>
  <c r="R24" i="120"/>
  <c r="AE21" i="120"/>
  <c r="Z21" i="120"/>
  <c r="X15" i="4" s="1"/>
  <c r="Y21" i="120"/>
  <c r="AE20" i="120"/>
  <c r="R23" i="120"/>
  <c r="AE19" i="120"/>
  <c r="Z19" i="120"/>
  <c r="W15" i="4" s="1"/>
  <c r="Y19" i="120"/>
  <c r="R22" i="120"/>
  <c r="AE18" i="120"/>
  <c r="R21" i="120"/>
  <c r="AE17" i="120"/>
  <c r="Z17" i="120"/>
  <c r="V15" i="4" s="1"/>
  <c r="Y17" i="120"/>
  <c r="X17" i="120"/>
  <c r="W17" i="120"/>
  <c r="O15" i="4" s="1"/>
  <c r="R19" i="120"/>
  <c r="AE16" i="120"/>
  <c r="R18" i="120"/>
  <c r="AE15" i="120"/>
  <c r="Z15" i="120"/>
  <c r="U15" i="4" s="1"/>
  <c r="Y15" i="120"/>
  <c r="X15" i="120"/>
  <c r="W15" i="120"/>
  <c r="N15" i="4" s="1"/>
  <c r="R14" i="120"/>
  <c r="AE14" i="120"/>
  <c r="R13" i="120"/>
  <c r="AE13" i="120"/>
  <c r="Z13" i="120"/>
  <c r="T15" i="4" s="1"/>
  <c r="Y13" i="120"/>
  <c r="X13" i="120"/>
  <c r="W13" i="120"/>
  <c r="M15" i="4" s="1"/>
  <c r="R12" i="120"/>
  <c r="AE12" i="120"/>
  <c r="AE11" i="120"/>
  <c r="Z11" i="120"/>
  <c r="S15" i="4" s="1"/>
  <c r="Y11" i="120"/>
  <c r="X11" i="120"/>
  <c r="W11" i="120"/>
  <c r="L15" i="4" s="1"/>
  <c r="AE10" i="120"/>
  <c r="AE9" i="120"/>
  <c r="Z9" i="120"/>
  <c r="R15" i="4" s="1"/>
  <c r="Y9" i="120"/>
  <c r="X9" i="120"/>
  <c r="AD15" i="4" s="1"/>
  <c r="W9" i="120"/>
  <c r="K15" i="4" s="1"/>
  <c r="R8" i="120"/>
  <c r="AE8" i="120"/>
  <c r="R7" i="120"/>
  <c r="AE7" i="120"/>
  <c r="AA7" i="120"/>
  <c r="AB15" i="4" s="1"/>
  <c r="Z7" i="120"/>
  <c r="Q15" i="4" s="1"/>
  <c r="Y7" i="120"/>
  <c r="X7" i="120"/>
  <c r="W7" i="120"/>
  <c r="J15" i="4" s="1"/>
  <c r="R6" i="120"/>
  <c r="AE6" i="120"/>
  <c r="R5" i="120"/>
  <c r="AE5" i="120"/>
  <c r="AA5" i="120"/>
  <c r="AA15" i="4" s="1"/>
  <c r="Z5" i="120"/>
  <c r="P15" i="4" s="1"/>
  <c r="Y5" i="120"/>
  <c r="H15" i="4" s="1"/>
  <c r="X5" i="120"/>
  <c r="W5" i="120"/>
  <c r="R4" i="120"/>
  <c r="AE4" i="120"/>
  <c r="R3" i="120"/>
  <c r="W42" i="119"/>
  <c r="W41" i="119"/>
  <c r="X40" i="119"/>
  <c r="W40" i="119"/>
  <c r="R44" i="119"/>
  <c r="G14" i="4" s="1"/>
  <c r="AE35" i="119"/>
  <c r="Y35" i="119"/>
  <c r="AE34" i="119"/>
  <c r="AE33" i="119"/>
  <c r="Y33" i="119"/>
  <c r="R38" i="119"/>
  <c r="AE32" i="119"/>
  <c r="R37" i="119"/>
  <c r="AE31" i="119"/>
  <c r="Y31" i="119"/>
  <c r="AE30" i="119"/>
  <c r="AE29" i="119"/>
  <c r="Y29" i="119"/>
  <c r="AE28" i="119"/>
  <c r="R29" i="119"/>
  <c r="AE27" i="119"/>
  <c r="Y27" i="119"/>
  <c r="AE26" i="119"/>
  <c r="R28" i="119"/>
  <c r="AE25" i="119"/>
  <c r="Z25" i="119"/>
  <c r="Z14" i="4" s="1"/>
  <c r="Y25" i="119"/>
  <c r="R27" i="119"/>
  <c r="AE24" i="119"/>
  <c r="R26" i="119"/>
  <c r="AE23" i="119"/>
  <c r="Z23" i="119"/>
  <c r="Y14" i="4" s="1"/>
  <c r="Y23" i="119"/>
  <c r="R25" i="119"/>
  <c r="AE22" i="119"/>
  <c r="R24" i="119"/>
  <c r="AE21" i="119"/>
  <c r="Z21" i="119"/>
  <c r="X14" i="4" s="1"/>
  <c r="Y21" i="119"/>
  <c r="AE20" i="119"/>
  <c r="R23" i="119"/>
  <c r="AE19" i="119"/>
  <c r="Z19" i="119"/>
  <c r="W14" i="4" s="1"/>
  <c r="Y19" i="119"/>
  <c r="R22" i="119"/>
  <c r="AE18" i="119"/>
  <c r="R21" i="119"/>
  <c r="AE17" i="119"/>
  <c r="Z17" i="119"/>
  <c r="V14" i="4" s="1"/>
  <c r="Y17" i="119"/>
  <c r="X17" i="119"/>
  <c r="W17" i="119"/>
  <c r="O14" i="4" s="1"/>
  <c r="R19" i="119"/>
  <c r="AE16" i="119"/>
  <c r="R18" i="119"/>
  <c r="AE15" i="119"/>
  <c r="Z15" i="119"/>
  <c r="U14" i="4" s="1"/>
  <c r="Y15" i="119"/>
  <c r="X15" i="119"/>
  <c r="W15" i="119"/>
  <c r="N14" i="4" s="1"/>
  <c r="R14" i="119"/>
  <c r="AE14" i="119"/>
  <c r="R13" i="119"/>
  <c r="AE13" i="119"/>
  <c r="Z13" i="119"/>
  <c r="T14" i="4" s="1"/>
  <c r="Y13" i="119"/>
  <c r="X13" i="119"/>
  <c r="W13" i="119"/>
  <c r="M14" i="4" s="1"/>
  <c r="R12" i="119"/>
  <c r="AE12" i="119"/>
  <c r="AE11" i="119"/>
  <c r="Z11" i="119"/>
  <c r="S14" i="4" s="1"/>
  <c r="Y11" i="119"/>
  <c r="X11" i="119"/>
  <c r="W11" i="119"/>
  <c r="L14" i="4" s="1"/>
  <c r="AE10" i="119"/>
  <c r="AE9" i="119"/>
  <c r="Z9" i="119"/>
  <c r="R14" i="4" s="1"/>
  <c r="Y9" i="119"/>
  <c r="X9" i="119"/>
  <c r="AD14" i="4" s="1"/>
  <c r="W9" i="119"/>
  <c r="K14" i="4" s="1"/>
  <c r="R8" i="119"/>
  <c r="AE8" i="119"/>
  <c r="R7" i="119"/>
  <c r="AE7" i="119"/>
  <c r="AA7" i="119"/>
  <c r="AB14" i="4" s="1"/>
  <c r="Z7" i="119"/>
  <c r="Q14" i="4" s="1"/>
  <c r="Y7" i="119"/>
  <c r="X7" i="119"/>
  <c r="W7" i="119"/>
  <c r="J14" i="4" s="1"/>
  <c r="R6" i="119"/>
  <c r="AE6" i="119"/>
  <c r="R5" i="119"/>
  <c r="AE5" i="119"/>
  <c r="AA5" i="119"/>
  <c r="AA14" i="4" s="1"/>
  <c r="Z5" i="119"/>
  <c r="P14" i="4" s="1"/>
  <c r="Y5" i="119"/>
  <c r="H14" i="4" s="1"/>
  <c r="X5" i="119"/>
  <c r="W5" i="119"/>
  <c r="R4" i="119"/>
  <c r="AE4" i="119"/>
  <c r="R3" i="119"/>
  <c r="W42" i="118"/>
  <c r="W41" i="118"/>
  <c r="X40" i="118"/>
  <c r="W40" i="118"/>
  <c r="R44" i="118"/>
  <c r="G13" i="4" s="1"/>
  <c r="AE35" i="118"/>
  <c r="Y35" i="118"/>
  <c r="AE34" i="118"/>
  <c r="AE33" i="118"/>
  <c r="Y33" i="118"/>
  <c r="R38" i="118"/>
  <c r="AE32" i="118"/>
  <c r="R37" i="118"/>
  <c r="AE31" i="118"/>
  <c r="Y31" i="118"/>
  <c r="AE30" i="118"/>
  <c r="AE29" i="118"/>
  <c r="Y29" i="118"/>
  <c r="AE28" i="118"/>
  <c r="R29" i="118"/>
  <c r="AE27" i="118"/>
  <c r="Y27" i="118"/>
  <c r="AE26" i="118"/>
  <c r="R28" i="118"/>
  <c r="AE25" i="118"/>
  <c r="Z25" i="118"/>
  <c r="Z13" i="4" s="1"/>
  <c r="Y25" i="118"/>
  <c r="R27" i="118"/>
  <c r="AE24" i="118"/>
  <c r="R26" i="118"/>
  <c r="AE23" i="118"/>
  <c r="Z23" i="118"/>
  <c r="Y13" i="4" s="1"/>
  <c r="Y23" i="118"/>
  <c r="R25" i="118"/>
  <c r="AE22" i="118"/>
  <c r="R24" i="118"/>
  <c r="AE21" i="118"/>
  <c r="Z21" i="118"/>
  <c r="X13" i="4" s="1"/>
  <c r="Y21" i="118"/>
  <c r="AE20" i="118"/>
  <c r="R23" i="118"/>
  <c r="AE19" i="118"/>
  <c r="Z19" i="118"/>
  <c r="W13" i="4" s="1"/>
  <c r="Y19" i="118"/>
  <c r="R22" i="118"/>
  <c r="AE18" i="118"/>
  <c r="R21" i="118"/>
  <c r="AE17" i="118"/>
  <c r="Z17" i="118"/>
  <c r="V13" i="4" s="1"/>
  <c r="Y17" i="118"/>
  <c r="X17" i="118"/>
  <c r="W17" i="118"/>
  <c r="O13" i="4" s="1"/>
  <c r="R19" i="118"/>
  <c r="AE16" i="118"/>
  <c r="R18" i="118"/>
  <c r="AE15" i="118"/>
  <c r="Z15" i="118"/>
  <c r="U13" i="4" s="1"/>
  <c r="Y15" i="118"/>
  <c r="X15" i="118"/>
  <c r="W15" i="118"/>
  <c r="N13" i="4" s="1"/>
  <c r="R14" i="118"/>
  <c r="AE14" i="118"/>
  <c r="R13" i="118"/>
  <c r="AE13" i="118"/>
  <c r="Z13" i="118"/>
  <c r="T13" i="4" s="1"/>
  <c r="Y13" i="118"/>
  <c r="X13" i="118"/>
  <c r="W13" i="118"/>
  <c r="M13" i="4" s="1"/>
  <c r="R12" i="118"/>
  <c r="AE12" i="118"/>
  <c r="AE11" i="118"/>
  <c r="Z11" i="118"/>
  <c r="S13" i="4" s="1"/>
  <c r="Y11" i="118"/>
  <c r="X11" i="118"/>
  <c r="W11" i="118"/>
  <c r="L13" i="4" s="1"/>
  <c r="AE10" i="118"/>
  <c r="AE9" i="118"/>
  <c r="Z9" i="118"/>
  <c r="R13" i="4" s="1"/>
  <c r="Y9" i="118"/>
  <c r="X9" i="118"/>
  <c r="AD13" i="4" s="1"/>
  <c r="W9" i="118"/>
  <c r="K13" i="4" s="1"/>
  <c r="R8" i="118"/>
  <c r="AE8" i="118"/>
  <c r="R7" i="118"/>
  <c r="AE7" i="118"/>
  <c r="AA7" i="118"/>
  <c r="AB13" i="4" s="1"/>
  <c r="Z7" i="118"/>
  <c r="Q13" i="4" s="1"/>
  <c r="Y7" i="118"/>
  <c r="X7" i="118"/>
  <c r="W7" i="118"/>
  <c r="J13" i="4" s="1"/>
  <c r="R6" i="118"/>
  <c r="AE6" i="118"/>
  <c r="R5" i="118"/>
  <c r="AE5" i="118"/>
  <c r="AA5" i="118"/>
  <c r="AA13" i="4" s="1"/>
  <c r="Z5" i="118"/>
  <c r="P13" i="4" s="1"/>
  <c r="Y5" i="118"/>
  <c r="H13" i="4" s="1"/>
  <c r="X5" i="118"/>
  <c r="W5" i="118"/>
  <c r="R4" i="118"/>
  <c r="AE4" i="118"/>
  <c r="R3" i="118"/>
  <c r="W42" i="117"/>
  <c r="W41" i="117"/>
  <c r="X40" i="117"/>
  <c r="W40" i="117"/>
  <c r="R44" i="117"/>
  <c r="G12" i="4" s="1"/>
  <c r="AE35" i="117"/>
  <c r="Y35" i="117"/>
  <c r="AE34" i="117"/>
  <c r="AE33" i="117"/>
  <c r="Y33" i="117"/>
  <c r="R38" i="117"/>
  <c r="AE32" i="117"/>
  <c r="R37" i="117"/>
  <c r="AE31" i="117"/>
  <c r="Y31" i="117"/>
  <c r="AE30" i="117"/>
  <c r="AE29" i="117"/>
  <c r="Y29" i="117"/>
  <c r="AE28" i="117"/>
  <c r="R29" i="117"/>
  <c r="AE27" i="117"/>
  <c r="Y27" i="117"/>
  <c r="AE26" i="117"/>
  <c r="R28" i="117"/>
  <c r="AE25" i="117"/>
  <c r="Z25" i="117"/>
  <c r="Z12" i="4" s="1"/>
  <c r="Y25" i="117"/>
  <c r="R27" i="117"/>
  <c r="AE24" i="117"/>
  <c r="R26" i="117"/>
  <c r="AE23" i="117"/>
  <c r="Z23" i="117"/>
  <c r="Y12" i="4" s="1"/>
  <c r="Y23" i="117"/>
  <c r="R25" i="117"/>
  <c r="AE22" i="117"/>
  <c r="R24" i="117"/>
  <c r="AE21" i="117"/>
  <c r="Z21" i="117"/>
  <c r="X12" i="4" s="1"/>
  <c r="Y21" i="117"/>
  <c r="AE20" i="117"/>
  <c r="R23" i="117"/>
  <c r="AE19" i="117"/>
  <c r="Z19" i="117"/>
  <c r="W12" i="4" s="1"/>
  <c r="Y19" i="117"/>
  <c r="R22" i="117"/>
  <c r="AE18" i="117"/>
  <c r="R21" i="117"/>
  <c r="AE17" i="117"/>
  <c r="Z17" i="117"/>
  <c r="V12" i="4" s="1"/>
  <c r="Y17" i="117"/>
  <c r="X17" i="117"/>
  <c r="W17" i="117"/>
  <c r="O12" i="4" s="1"/>
  <c r="R19" i="117"/>
  <c r="AE16" i="117"/>
  <c r="R18" i="117"/>
  <c r="AE15" i="117"/>
  <c r="Z15" i="117"/>
  <c r="U12" i="4" s="1"/>
  <c r="Y15" i="117"/>
  <c r="X15" i="117"/>
  <c r="W15" i="117"/>
  <c r="N12" i="4" s="1"/>
  <c r="R14" i="117"/>
  <c r="AE14" i="117"/>
  <c r="R13" i="117"/>
  <c r="AE13" i="117"/>
  <c r="Z13" i="117"/>
  <c r="T12" i="4" s="1"/>
  <c r="Y13" i="117"/>
  <c r="X13" i="117"/>
  <c r="W13" i="117"/>
  <c r="M12" i="4" s="1"/>
  <c r="R12" i="117"/>
  <c r="AE12" i="117"/>
  <c r="AE11" i="117"/>
  <c r="Z11" i="117"/>
  <c r="S12" i="4" s="1"/>
  <c r="Y11" i="117"/>
  <c r="X11" i="117"/>
  <c r="W11" i="117"/>
  <c r="L12" i="4" s="1"/>
  <c r="AE10" i="117"/>
  <c r="AE9" i="117"/>
  <c r="Z9" i="117"/>
  <c r="R12" i="4" s="1"/>
  <c r="Y9" i="117"/>
  <c r="X9" i="117"/>
  <c r="AD12" i="4" s="1"/>
  <c r="W9" i="117"/>
  <c r="K12" i="4" s="1"/>
  <c r="R8" i="117"/>
  <c r="AE8" i="117"/>
  <c r="R7" i="117"/>
  <c r="AE7" i="117"/>
  <c r="AA7" i="117"/>
  <c r="AB12" i="4" s="1"/>
  <c r="Z7" i="117"/>
  <c r="Q12" i="4" s="1"/>
  <c r="Y7" i="117"/>
  <c r="X7" i="117"/>
  <c r="W7" i="117"/>
  <c r="J12" i="4" s="1"/>
  <c r="R6" i="117"/>
  <c r="AE6" i="117"/>
  <c r="R5" i="117"/>
  <c r="AE5" i="117"/>
  <c r="AA5" i="117"/>
  <c r="AA12" i="4" s="1"/>
  <c r="Z5" i="117"/>
  <c r="P12" i="4" s="1"/>
  <c r="Y5" i="117"/>
  <c r="H12" i="4" s="1"/>
  <c r="X5" i="117"/>
  <c r="W5" i="117"/>
  <c r="R4" i="117"/>
  <c r="AE4" i="117"/>
  <c r="R3" i="117"/>
  <c r="W42" i="116"/>
  <c r="W41" i="116"/>
  <c r="X40" i="116"/>
  <c r="W40" i="116"/>
  <c r="R44" i="116"/>
  <c r="G11" i="4" s="1"/>
  <c r="AE35" i="116"/>
  <c r="Y35" i="116"/>
  <c r="AE34" i="116"/>
  <c r="AE33" i="116"/>
  <c r="Y33" i="116"/>
  <c r="R38" i="116"/>
  <c r="AE32" i="116"/>
  <c r="R37" i="116"/>
  <c r="AE31" i="116"/>
  <c r="Y31" i="116"/>
  <c r="AE30" i="116"/>
  <c r="AE29" i="116"/>
  <c r="Y29" i="116"/>
  <c r="AE28" i="116"/>
  <c r="R29" i="116"/>
  <c r="AE27" i="116"/>
  <c r="Y27" i="116"/>
  <c r="AE26" i="116"/>
  <c r="R28" i="116"/>
  <c r="AE25" i="116"/>
  <c r="Z25" i="116"/>
  <c r="Z11" i="4" s="1"/>
  <c r="Y25" i="116"/>
  <c r="R27" i="116"/>
  <c r="AE24" i="116"/>
  <c r="R26" i="116"/>
  <c r="AE23" i="116"/>
  <c r="Z23" i="116"/>
  <c r="Y11" i="4" s="1"/>
  <c r="Y23" i="116"/>
  <c r="R25" i="116"/>
  <c r="AE22" i="116"/>
  <c r="R24" i="116"/>
  <c r="AE21" i="116"/>
  <c r="Z21" i="116"/>
  <c r="X11" i="4" s="1"/>
  <c r="Y21" i="116"/>
  <c r="AE20" i="116"/>
  <c r="R23" i="116"/>
  <c r="AE19" i="116"/>
  <c r="Z19" i="116"/>
  <c r="W11" i="4" s="1"/>
  <c r="Y19" i="116"/>
  <c r="R22" i="116"/>
  <c r="AE18" i="116"/>
  <c r="R21" i="116"/>
  <c r="AE17" i="116"/>
  <c r="Z17" i="116"/>
  <c r="V11" i="4" s="1"/>
  <c r="Y17" i="116"/>
  <c r="X17" i="116"/>
  <c r="W17" i="116"/>
  <c r="O11" i="4" s="1"/>
  <c r="R19" i="116"/>
  <c r="AE16" i="116"/>
  <c r="R18" i="116"/>
  <c r="AE15" i="116"/>
  <c r="Z15" i="116"/>
  <c r="U11" i="4" s="1"/>
  <c r="Y15" i="116"/>
  <c r="X15" i="116"/>
  <c r="W15" i="116"/>
  <c r="N11" i="4" s="1"/>
  <c r="R14" i="116"/>
  <c r="AE14" i="116"/>
  <c r="R13" i="116"/>
  <c r="AE13" i="116"/>
  <c r="Z13" i="116"/>
  <c r="T11" i="4" s="1"/>
  <c r="Y13" i="116"/>
  <c r="X13" i="116"/>
  <c r="W13" i="116"/>
  <c r="M11" i="4" s="1"/>
  <c r="R12" i="116"/>
  <c r="AE12" i="116"/>
  <c r="AE11" i="116"/>
  <c r="Z11" i="116"/>
  <c r="S11" i="4" s="1"/>
  <c r="Y11" i="116"/>
  <c r="X11" i="116"/>
  <c r="W11" i="116"/>
  <c r="L11" i="4" s="1"/>
  <c r="AE10" i="116"/>
  <c r="AE9" i="116"/>
  <c r="Z9" i="116"/>
  <c r="R11" i="4" s="1"/>
  <c r="Y9" i="116"/>
  <c r="X9" i="116"/>
  <c r="AD11" i="4" s="1"/>
  <c r="W9" i="116"/>
  <c r="K11" i="4" s="1"/>
  <c r="R8" i="116"/>
  <c r="AE8" i="116"/>
  <c r="R7" i="116"/>
  <c r="AE7" i="116"/>
  <c r="AA7" i="116"/>
  <c r="AB11" i="4" s="1"/>
  <c r="Z7" i="116"/>
  <c r="Q11" i="4" s="1"/>
  <c r="Y7" i="116"/>
  <c r="X7" i="116"/>
  <c r="W7" i="116"/>
  <c r="J11" i="4" s="1"/>
  <c r="R6" i="116"/>
  <c r="AE6" i="116"/>
  <c r="R5" i="116"/>
  <c r="AE5" i="116"/>
  <c r="AA5" i="116"/>
  <c r="AA11" i="4" s="1"/>
  <c r="Z5" i="116"/>
  <c r="P11" i="4" s="1"/>
  <c r="Y5" i="116"/>
  <c r="H11" i="4" s="1"/>
  <c r="X5" i="116"/>
  <c r="W5" i="116"/>
  <c r="R4" i="116"/>
  <c r="AE4" i="116"/>
  <c r="R3" i="116"/>
  <c r="W42" i="115"/>
  <c r="W41" i="115"/>
  <c r="X40" i="115"/>
  <c r="W40" i="115"/>
  <c r="R44" i="115"/>
  <c r="G10" i="4" s="1"/>
  <c r="AE35" i="115"/>
  <c r="Y35" i="115"/>
  <c r="AE34" i="115"/>
  <c r="AE33" i="115"/>
  <c r="Y33" i="115"/>
  <c r="R38" i="115"/>
  <c r="AE32" i="115"/>
  <c r="R37" i="115"/>
  <c r="AE31" i="115"/>
  <c r="Y31" i="115"/>
  <c r="AE30" i="115"/>
  <c r="AE29" i="115"/>
  <c r="Y29" i="115"/>
  <c r="AE28" i="115"/>
  <c r="R29" i="115"/>
  <c r="AE27" i="115"/>
  <c r="Y27" i="115"/>
  <c r="AE26" i="115"/>
  <c r="R28" i="115"/>
  <c r="AE25" i="115"/>
  <c r="Z25" i="115"/>
  <c r="Z10" i="4" s="1"/>
  <c r="Y25" i="115"/>
  <c r="R27" i="115"/>
  <c r="AE24" i="115"/>
  <c r="R26" i="115"/>
  <c r="AE23" i="115"/>
  <c r="Z23" i="115"/>
  <c r="Y10" i="4" s="1"/>
  <c r="Y23" i="115"/>
  <c r="R25" i="115"/>
  <c r="AE22" i="115"/>
  <c r="R24" i="115"/>
  <c r="AE21" i="115"/>
  <c r="Z21" i="115"/>
  <c r="X10" i="4" s="1"/>
  <c r="Y21" i="115"/>
  <c r="AE20" i="115"/>
  <c r="R23" i="115"/>
  <c r="AE19" i="115"/>
  <c r="Z19" i="115"/>
  <c r="W10" i="4" s="1"/>
  <c r="Y19" i="115"/>
  <c r="R22" i="115"/>
  <c r="AE18" i="115"/>
  <c r="R21" i="115"/>
  <c r="AE17" i="115"/>
  <c r="Z17" i="115"/>
  <c r="V10" i="4" s="1"/>
  <c r="Y17" i="115"/>
  <c r="X17" i="115"/>
  <c r="W17" i="115"/>
  <c r="O10" i="4" s="1"/>
  <c r="R19" i="115"/>
  <c r="AE16" i="115"/>
  <c r="R18" i="115"/>
  <c r="AE15" i="115"/>
  <c r="Z15" i="115"/>
  <c r="U10" i="4" s="1"/>
  <c r="Y15" i="115"/>
  <c r="X15" i="115"/>
  <c r="W15" i="115"/>
  <c r="N10" i="4" s="1"/>
  <c r="R14" i="115"/>
  <c r="AE14" i="115"/>
  <c r="R13" i="115"/>
  <c r="AE13" i="115"/>
  <c r="Z13" i="115"/>
  <c r="T10" i="4" s="1"/>
  <c r="Y13" i="115"/>
  <c r="X13" i="115"/>
  <c r="W13" i="115"/>
  <c r="M10" i="4" s="1"/>
  <c r="R12" i="115"/>
  <c r="AE12" i="115"/>
  <c r="AE11" i="115"/>
  <c r="Z11" i="115"/>
  <c r="S10" i="4" s="1"/>
  <c r="Y11" i="115"/>
  <c r="X11" i="115"/>
  <c r="W11" i="115"/>
  <c r="L10" i="4" s="1"/>
  <c r="AE10" i="115"/>
  <c r="AE9" i="115"/>
  <c r="Z9" i="115"/>
  <c r="R10" i="4" s="1"/>
  <c r="Y9" i="115"/>
  <c r="X9" i="115"/>
  <c r="AD10" i="4" s="1"/>
  <c r="W9" i="115"/>
  <c r="K10" i="4" s="1"/>
  <c r="R8" i="115"/>
  <c r="AE8" i="115"/>
  <c r="R7" i="115"/>
  <c r="AE7" i="115"/>
  <c r="AA7" i="115"/>
  <c r="AB10" i="4" s="1"/>
  <c r="Z7" i="115"/>
  <c r="Q10" i="4" s="1"/>
  <c r="Y7" i="115"/>
  <c r="X7" i="115"/>
  <c r="W7" i="115"/>
  <c r="J10" i="4" s="1"/>
  <c r="R6" i="115"/>
  <c r="AE6" i="115"/>
  <c r="R5" i="115"/>
  <c r="AE5" i="115"/>
  <c r="AA5" i="115"/>
  <c r="AA10" i="4" s="1"/>
  <c r="Z5" i="115"/>
  <c r="P10" i="4" s="1"/>
  <c r="Y5" i="115"/>
  <c r="H10" i="4" s="1"/>
  <c r="X5" i="115"/>
  <c r="W5" i="115"/>
  <c r="R4" i="115"/>
  <c r="AE4" i="115"/>
  <c r="R3" i="115"/>
  <c r="W42" i="114"/>
  <c r="W41" i="114"/>
  <c r="X40" i="114"/>
  <c r="W40" i="114"/>
  <c r="R44" i="114"/>
  <c r="G9" i="4" s="1"/>
  <c r="AE35" i="114"/>
  <c r="Y35" i="114"/>
  <c r="AE34" i="114"/>
  <c r="AE33" i="114"/>
  <c r="Y33" i="114"/>
  <c r="R38" i="114"/>
  <c r="AE32" i="114"/>
  <c r="R37" i="114"/>
  <c r="AE31" i="114"/>
  <c r="Y31" i="114"/>
  <c r="AE30" i="114"/>
  <c r="AE29" i="114"/>
  <c r="Y29" i="114"/>
  <c r="AE28" i="114"/>
  <c r="R29" i="114"/>
  <c r="AE27" i="114"/>
  <c r="Y27" i="114"/>
  <c r="AE26" i="114"/>
  <c r="R28" i="114"/>
  <c r="AE25" i="114"/>
  <c r="Z25" i="114"/>
  <c r="Z9" i="4" s="1"/>
  <c r="Y25" i="114"/>
  <c r="R27" i="114"/>
  <c r="AE24" i="114"/>
  <c r="R26" i="114"/>
  <c r="AE23" i="114"/>
  <c r="Z23" i="114"/>
  <c r="Y9" i="4" s="1"/>
  <c r="Y23" i="114"/>
  <c r="R25" i="114"/>
  <c r="AE22" i="114"/>
  <c r="R24" i="114"/>
  <c r="AE21" i="114"/>
  <c r="Z21" i="114"/>
  <c r="X9" i="4" s="1"/>
  <c r="Y21" i="114"/>
  <c r="AE20" i="114"/>
  <c r="R23" i="114"/>
  <c r="AE19" i="114"/>
  <c r="Z19" i="114"/>
  <c r="W9" i="4" s="1"/>
  <c r="Y19" i="114"/>
  <c r="R22" i="114"/>
  <c r="AE18" i="114"/>
  <c r="R21" i="114"/>
  <c r="AE17" i="114"/>
  <c r="Z17" i="114"/>
  <c r="V9" i="4" s="1"/>
  <c r="Y17" i="114"/>
  <c r="X17" i="114"/>
  <c r="W17" i="114"/>
  <c r="O9" i="4" s="1"/>
  <c r="R19" i="114"/>
  <c r="AE16" i="114"/>
  <c r="R18" i="114"/>
  <c r="AE15" i="114"/>
  <c r="Z15" i="114"/>
  <c r="U9" i="4" s="1"/>
  <c r="Y15" i="114"/>
  <c r="X15" i="114"/>
  <c r="W15" i="114"/>
  <c r="N9" i="4" s="1"/>
  <c r="R14" i="114"/>
  <c r="AE14" i="114"/>
  <c r="R13" i="114"/>
  <c r="AE13" i="114"/>
  <c r="Z13" i="114"/>
  <c r="T9" i="4" s="1"/>
  <c r="Y13" i="114"/>
  <c r="X13" i="114"/>
  <c r="W13" i="114"/>
  <c r="M9" i="4" s="1"/>
  <c r="R12" i="114"/>
  <c r="AE12" i="114"/>
  <c r="AE11" i="114"/>
  <c r="Z11" i="114"/>
  <c r="S9" i="4" s="1"/>
  <c r="Y11" i="114"/>
  <c r="X11" i="114"/>
  <c r="W11" i="114"/>
  <c r="L9" i="4" s="1"/>
  <c r="AE10" i="114"/>
  <c r="AE9" i="114"/>
  <c r="Z9" i="114"/>
  <c r="R9" i="4" s="1"/>
  <c r="Y9" i="114"/>
  <c r="X9" i="114"/>
  <c r="AD9" i="4" s="1"/>
  <c r="W9" i="114"/>
  <c r="K9" i="4" s="1"/>
  <c r="R8" i="114"/>
  <c r="AE8" i="114"/>
  <c r="R7" i="114"/>
  <c r="AE7" i="114"/>
  <c r="AA7" i="114"/>
  <c r="AB9" i="4" s="1"/>
  <c r="Z7" i="114"/>
  <c r="Q9" i="4" s="1"/>
  <c r="Y7" i="114"/>
  <c r="X7" i="114"/>
  <c r="W7" i="114"/>
  <c r="J9" i="4" s="1"/>
  <c r="R6" i="114"/>
  <c r="AE6" i="114"/>
  <c r="R5" i="114"/>
  <c r="AE5" i="114"/>
  <c r="AA5" i="114"/>
  <c r="AA9" i="4" s="1"/>
  <c r="Z5" i="114"/>
  <c r="P9" i="4" s="1"/>
  <c r="Y5" i="114"/>
  <c r="H9" i="4" s="1"/>
  <c r="X5" i="114"/>
  <c r="W5" i="114"/>
  <c r="R4" i="114"/>
  <c r="AE4" i="114"/>
  <c r="R3" i="114"/>
  <c r="W42" i="112"/>
  <c r="W41" i="112"/>
  <c r="X40" i="112"/>
  <c r="W40" i="112"/>
  <c r="R44" i="112"/>
  <c r="G8" i="4" s="1"/>
  <c r="AE35" i="112"/>
  <c r="Y35" i="112"/>
  <c r="AE34" i="112"/>
  <c r="AE33" i="112"/>
  <c r="Y33" i="112"/>
  <c r="R38" i="112"/>
  <c r="AE32" i="112"/>
  <c r="R37" i="112"/>
  <c r="AE31" i="112"/>
  <c r="Y31" i="112"/>
  <c r="AE30" i="112"/>
  <c r="AE29" i="112"/>
  <c r="Y29" i="112"/>
  <c r="AE28" i="112"/>
  <c r="R29" i="112"/>
  <c r="AE27" i="112"/>
  <c r="Y27" i="112"/>
  <c r="AE26" i="112"/>
  <c r="R28" i="112"/>
  <c r="AE25" i="112"/>
  <c r="Z25" i="112"/>
  <c r="Z8" i="4" s="1"/>
  <c r="Y25" i="112"/>
  <c r="R27" i="112"/>
  <c r="AE24" i="112"/>
  <c r="R26" i="112"/>
  <c r="AE23" i="112"/>
  <c r="Z23" i="112"/>
  <c r="Y8" i="4" s="1"/>
  <c r="Y23" i="112"/>
  <c r="R25" i="112"/>
  <c r="AE22" i="112"/>
  <c r="R24" i="112"/>
  <c r="AE21" i="112"/>
  <c r="Z21" i="112"/>
  <c r="X8" i="4" s="1"/>
  <c r="Y21" i="112"/>
  <c r="AE20" i="112"/>
  <c r="R23" i="112"/>
  <c r="AE19" i="112"/>
  <c r="Z19" i="112"/>
  <c r="W8" i="4" s="1"/>
  <c r="Y19" i="112"/>
  <c r="R22" i="112"/>
  <c r="AE18" i="112"/>
  <c r="R21" i="112"/>
  <c r="AE17" i="112"/>
  <c r="Z17" i="112"/>
  <c r="V8" i="4" s="1"/>
  <c r="Y17" i="112"/>
  <c r="X17" i="112"/>
  <c r="W17" i="112"/>
  <c r="O8" i="4" s="1"/>
  <c r="R19" i="112"/>
  <c r="AE16" i="112"/>
  <c r="R18" i="112"/>
  <c r="AE15" i="112"/>
  <c r="Z15" i="112"/>
  <c r="U8" i="4" s="1"/>
  <c r="Y15" i="112"/>
  <c r="X15" i="112"/>
  <c r="W15" i="112"/>
  <c r="N8" i="4" s="1"/>
  <c r="R14" i="112"/>
  <c r="AE14" i="112"/>
  <c r="R13" i="112"/>
  <c r="AE13" i="112"/>
  <c r="Z13" i="112"/>
  <c r="T8" i="4" s="1"/>
  <c r="Y13" i="112"/>
  <c r="X13" i="112"/>
  <c r="W13" i="112"/>
  <c r="M8" i="4" s="1"/>
  <c r="R12" i="112"/>
  <c r="AE12" i="112"/>
  <c r="AE11" i="112"/>
  <c r="Z11" i="112"/>
  <c r="S8" i="4" s="1"/>
  <c r="Y11" i="112"/>
  <c r="X11" i="112"/>
  <c r="W11" i="112"/>
  <c r="L8" i="4" s="1"/>
  <c r="AE10" i="112"/>
  <c r="AE9" i="112"/>
  <c r="Z9" i="112"/>
  <c r="R8" i="4" s="1"/>
  <c r="Y9" i="112"/>
  <c r="X9" i="112"/>
  <c r="AD8" i="4" s="1"/>
  <c r="W9" i="112"/>
  <c r="K8" i="4" s="1"/>
  <c r="R8" i="112"/>
  <c r="AE8" i="112"/>
  <c r="R7" i="112"/>
  <c r="AE7" i="112"/>
  <c r="AA7" i="112"/>
  <c r="AB8" i="4" s="1"/>
  <c r="Z7" i="112"/>
  <c r="Q8" i="4" s="1"/>
  <c r="Y7" i="112"/>
  <c r="X7" i="112"/>
  <c r="W7" i="112"/>
  <c r="J8" i="4" s="1"/>
  <c r="R6" i="112"/>
  <c r="AE6" i="112"/>
  <c r="R5" i="112"/>
  <c r="AE5" i="112"/>
  <c r="AA5" i="112"/>
  <c r="AA8" i="4" s="1"/>
  <c r="Z5" i="112"/>
  <c r="P8" i="4" s="1"/>
  <c r="Y5" i="112"/>
  <c r="H8" i="4" s="1"/>
  <c r="X5" i="112"/>
  <c r="W5" i="112"/>
  <c r="R4" i="112"/>
  <c r="AE4" i="112"/>
  <c r="R3" i="112"/>
  <c r="W42" i="111"/>
  <c r="W41" i="111"/>
  <c r="X40" i="111"/>
  <c r="W40" i="111"/>
  <c r="R44" i="111"/>
  <c r="G7" i="4" s="1"/>
  <c r="AE35" i="111"/>
  <c r="Y35" i="111"/>
  <c r="AE34" i="111"/>
  <c r="AE33" i="111"/>
  <c r="Y33" i="111"/>
  <c r="R38" i="111"/>
  <c r="AE32" i="111"/>
  <c r="R37" i="111"/>
  <c r="AE31" i="111"/>
  <c r="Y31" i="111"/>
  <c r="AE30" i="111"/>
  <c r="AE29" i="111"/>
  <c r="Y29" i="111"/>
  <c r="AE28" i="111"/>
  <c r="R29" i="111"/>
  <c r="AE27" i="111"/>
  <c r="Y27" i="111"/>
  <c r="AE26" i="111"/>
  <c r="R28" i="111"/>
  <c r="AE25" i="111"/>
  <c r="Z25" i="111"/>
  <c r="Z7" i="4" s="1"/>
  <c r="Y25" i="111"/>
  <c r="R27" i="111"/>
  <c r="AE24" i="111"/>
  <c r="R26" i="111"/>
  <c r="AE23" i="111"/>
  <c r="Z23" i="111"/>
  <c r="Y7" i="4" s="1"/>
  <c r="Y23" i="111"/>
  <c r="R25" i="111"/>
  <c r="AE22" i="111"/>
  <c r="R24" i="111"/>
  <c r="AE21" i="111"/>
  <c r="Z21" i="111"/>
  <c r="X7" i="4" s="1"/>
  <c r="Y21" i="111"/>
  <c r="AE20" i="111"/>
  <c r="R23" i="111"/>
  <c r="AE19" i="111"/>
  <c r="Z19" i="111"/>
  <c r="W7" i="4" s="1"/>
  <c r="Y19" i="111"/>
  <c r="R22" i="111"/>
  <c r="AE18" i="111"/>
  <c r="R21" i="111"/>
  <c r="AE17" i="111"/>
  <c r="Z17" i="111"/>
  <c r="V7" i="4" s="1"/>
  <c r="Y17" i="111"/>
  <c r="X17" i="111"/>
  <c r="W17" i="111"/>
  <c r="O7" i="4" s="1"/>
  <c r="R19" i="111"/>
  <c r="AE16" i="111"/>
  <c r="R18" i="111"/>
  <c r="AE15" i="111"/>
  <c r="Z15" i="111"/>
  <c r="U7" i="4" s="1"/>
  <c r="Y15" i="111"/>
  <c r="X15" i="111"/>
  <c r="W15" i="111"/>
  <c r="N7" i="4" s="1"/>
  <c r="R14" i="111"/>
  <c r="AE14" i="111"/>
  <c r="R13" i="111"/>
  <c r="AE13" i="111"/>
  <c r="Z13" i="111"/>
  <c r="T7" i="4" s="1"/>
  <c r="Y13" i="111"/>
  <c r="X13" i="111"/>
  <c r="W13" i="111"/>
  <c r="M7" i="4" s="1"/>
  <c r="R12" i="111"/>
  <c r="AE12" i="111"/>
  <c r="AE11" i="111"/>
  <c r="Z11" i="111"/>
  <c r="S7" i="4" s="1"/>
  <c r="Y11" i="111"/>
  <c r="X11" i="111"/>
  <c r="W11" i="111"/>
  <c r="L7" i="4" s="1"/>
  <c r="AE10" i="111"/>
  <c r="AE9" i="111"/>
  <c r="Z9" i="111"/>
  <c r="R7" i="4" s="1"/>
  <c r="Y9" i="111"/>
  <c r="X9" i="111"/>
  <c r="AD7" i="4" s="1"/>
  <c r="W9" i="111"/>
  <c r="K7" i="4" s="1"/>
  <c r="R8" i="111"/>
  <c r="AE8" i="111"/>
  <c r="R7" i="111"/>
  <c r="AE7" i="111"/>
  <c r="AA7" i="111"/>
  <c r="AB7" i="4" s="1"/>
  <c r="Z7" i="111"/>
  <c r="Q7" i="4" s="1"/>
  <c r="Y7" i="111"/>
  <c r="X7" i="111"/>
  <c r="W7" i="111"/>
  <c r="J7" i="4" s="1"/>
  <c r="R6" i="111"/>
  <c r="AE6" i="111"/>
  <c r="R5" i="111"/>
  <c r="AE5" i="111"/>
  <c r="AA5" i="111"/>
  <c r="AA7" i="4" s="1"/>
  <c r="Z5" i="111"/>
  <c r="P7" i="4" s="1"/>
  <c r="Y5" i="111"/>
  <c r="H7" i="4" s="1"/>
  <c r="X5" i="111"/>
  <c r="W5" i="111"/>
  <c r="R4" i="111"/>
  <c r="AE4" i="111"/>
  <c r="R3" i="111"/>
  <c r="W42" i="110"/>
  <c r="W41" i="110"/>
  <c r="X40" i="110"/>
  <c r="W40" i="110"/>
  <c r="R44" i="110"/>
  <c r="G6" i="4" s="1"/>
  <c r="AE35" i="110"/>
  <c r="Y35" i="110"/>
  <c r="AE34" i="110"/>
  <c r="AE33" i="110"/>
  <c r="Y33" i="110"/>
  <c r="R38" i="110"/>
  <c r="AE32" i="110"/>
  <c r="R37" i="110"/>
  <c r="AE31" i="110"/>
  <c r="Y31" i="110"/>
  <c r="AE30" i="110"/>
  <c r="AE29" i="110"/>
  <c r="Y29" i="110"/>
  <c r="AE28" i="110"/>
  <c r="R29" i="110"/>
  <c r="AE27" i="110"/>
  <c r="Y27" i="110"/>
  <c r="AE26" i="110"/>
  <c r="R28" i="110"/>
  <c r="AE25" i="110"/>
  <c r="Z25" i="110"/>
  <c r="Z6" i="4" s="1"/>
  <c r="Y25" i="110"/>
  <c r="R27" i="110"/>
  <c r="AE24" i="110"/>
  <c r="R26" i="110"/>
  <c r="AE23" i="110"/>
  <c r="Z23" i="110"/>
  <c r="Y6" i="4" s="1"/>
  <c r="Y23" i="110"/>
  <c r="R25" i="110"/>
  <c r="AE22" i="110"/>
  <c r="R24" i="110"/>
  <c r="AE21" i="110"/>
  <c r="Z21" i="110"/>
  <c r="X6" i="4" s="1"/>
  <c r="Y21" i="110"/>
  <c r="AE20" i="110"/>
  <c r="R23" i="110"/>
  <c r="AE19" i="110"/>
  <c r="Z19" i="110"/>
  <c r="W6" i="4" s="1"/>
  <c r="Y19" i="110"/>
  <c r="R22" i="110"/>
  <c r="AE18" i="110"/>
  <c r="R21" i="110"/>
  <c r="AE17" i="110"/>
  <c r="Z17" i="110"/>
  <c r="V6" i="4" s="1"/>
  <c r="Y17" i="110"/>
  <c r="X17" i="110"/>
  <c r="W17" i="110"/>
  <c r="O6" i="4" s="1"/>
  <c r="R19" i="110"/>
  <c r="AE16" i="110"/>
  <c r="R18" i="110"/>
  <c r="AE15" i="110"/>
  <c r="Z15" i="110"/>
  <c r="U6" i="4" s="1"/>
  <c r="Y15" i="110"/>
  <c r="X15" i="110"/>
  <c r="W15" i="110"/>
  <c r="N6" i="4" s="1"/>
  <c r="R14" i="110"/>
  <c r="AE14" i="110"/>
  <c r="R13" i="110"/>
  <c r="AE13" i="110"/>
  <c r="Z13" i="110"/>
  <c r="T6" i="4" s="1"/>
  <c r="Y13" i="110"/>
  <c r="X13" i="110"/>
  <c r="W13" i="110"/>
  <c r="M6" i="4" s="1"/>
  <c r="R12" i="110"/>
  <c r="AE12" i="110"/>
  <c r="AE11" i="110"/>
  <c r="Z11" i="110"/>
  <c r="S6" i="4" s="1"/>
  <c r="Y11" i="110"/>
  <c r="X11" i="110"/>
  <c r="W11" i="110"/>
  <c r="L6" i="4" s="1"/>
  <c r="AE10" i="110"/>
  <c r="AE9" i="110"/>
  <c r="Z9" i="110"/>
  <c r="R6" i="4" s="1"/>
  <c r="Y9" i="110"/>
  <c r="X9" i="110"/>
  <c r="AD6" i="4" s="1"/>
  <c r="W9" i="110"/>
  <c r="K6" i="4" s="1"/>
  <c r="R8" i="110"/>
  <c r="AE8" i="110"/>
  <c r="R7" i="110"/>
  <c r="AE7" i="110"/>
  <c r="AA7" i="110"/>
  <c r="AB6" i="4" s="1"/>
  <c r="Z7" i="110"/>
  <c r="Q6" i="4" s="1"/>
  <c r="Y7" i="110"/>
  <c r="X7" i="110"/>
  <c r="W7" i="110"/>
  <c r="J6" i="4" s="1"/>
  <c r="R6" i="110"/>
  <c r="AE6" i="110"/>
  <c r="R5" i="110"/>
  <c r="AE5" i="110"/>
  <c r="AA5" i="110"/>
  <c r="AA6" i="4" s="1"/>
  <c r="Z5" i="110"/>
  <c r="P6" i="4" s="1"/>
  <c r="Y5" i="110"/>
  <c r="H6" i="4" s="1"/>
  <c r="X5" i="110"/>
  <c r="W5" i="110"/>
  <c r="R4" i="110"/>
  <c r="AE4" i="110"/>
  <c r="R3" i="110"/>
  <c r="W42" i="109"/>
  <c r="W41" i="109"/>
  <c r="X40" i="109"/>
  <c r="W40" i="109"/>
  <c r="R44" i="109"/>
  <c r="G5" i="4" s="1"/>
  <c r="AE35" i="109"/>
  <c r="Y35" i="109"/>
  <c r="AE34" i="109"/>
  <c r="AE33" i="109"/>
  <c r="Y33" i="109"/>
  <c r="R38" i="109"/>
  <c r="AE32" i="109"/>
  <c r="R37" i="109"/>
  <c r="AE31" i="109"/>
  <c r="Y31" i="109"/>
  <c r="AE30" i="109"/>
  <c r="AE29" i="109"/>
  <c r="Y29" i="109"/>
  <c r="AE28" i="109"/>
  <c r="R29" i="109"/>
  <c r="AE27" i="109"/>
  <c r="Y27" i="109"/>
  <c r="AE26" i="109"/>
  <c r="R28" i="109"/>
  <c r="AE25" i="109"/>
  <c r="Z25" i="109"/>
  <c r="Z5" i="4" s="1"/>
  <c r="Y25" i="109"/>
  <c r="R27" i="109"/>
  <c r="AE24" i="109"/>
  <c r="R26" i="109"/>
  <c r="AE23" i="109"/>
  <c r="Z23" i="109"/>
  <c r="Y5" i="4" s="1"/>
  <c r="Y23" i="109"/>
  <c r="R25" i="109"/>
  <c r="AE22" i="109"/>
  <c r="R24" i="109"/>
  <c r="AE21" i="109"/>
  <c r="Z21" i="109"/>
  <c r="X5" i="4" s="1"/>
  <c r="Y21" i="109"/>
  <c r="AE20" i="109"/>
  <c r="R23" i="109"/>
  <c r="AE19" i="109"/>
  <c r="Z19" i="109"/>
  <c r="W5" i="4" s="1"/>
  <c r="Y19" i="109"/>
  <c r="R22" i="109"/>
  <c r="AE18" i="109"/>
  <c r="R21" i="109"/>
  <c r="AE17" i="109"/>
  <c r="Z17" i="109"/>
  <c r="V5" i="4" s="1"/>
  <c r="Y17" i="109"/>
  <c r="X17" i="109"/>
  <c r="W17" i="109"/>
  <c r="O5" i="4" s="1"/>
  <c r="R19" i="109"/>
  <c r="AE16" i="109"/>
  <c r="R18" i="109"/>
  <c r="AE15" i="109"/>
  <c r="Z15" i="109"/>
  <c r="U5" i="4" s="1"/>
  <c r="Y15" i="109"/>
  <c r="X15" i="109"/>
  <c r="W15" i="109"/>
  <c r="N5" i="4" s="1"/>
  <c r="R14" i="109"/>
  <c r="AE14" i="109"/>
  <c r="R13" i="109"/>
  <c r="AE13" i="109"/>
  <c r="Z13" i="109"/>
  <c r="T5" i="4" s="1"/>
  <c r="Y13" i="109"/>
  <c r="X13" i="109"/>
  <c r="W13" i="109"/>
  <c r="M5" i="4" s="1"/>
  <c r="R12" i="109"/>
  <c r="AE12" i="109"/>
  <c r="AE11" i="109"/>
  <c r="Z11" i="109"/>
  <c r="S5" i="4" s="1"/>
  <c r="Y11" i="109"/>
  <c r="X11" i="109"/>
  <c r="W11" i="109"/>
  <c r="L5" i="4" s="1"/>
  <c r="AE10" i="109"/>
  <c r="AE9" i="109"/>
  <c r="Z9" i="109"/>
  <c r="R5" i="4" s="1"/>
  <c r="Y9" i="109"/>
  <c r="X9" i="109"/>
  <c r="AD5" i="4" s="1"/>
  <c r="W9" i="109"/>
  <c r="K5" i="4" s="1"/>
  <c r="R8" i="109"/>
  <c r="AE8" i="109"/>
  <c r="R7" i="109"/>
  <c r="AE7" i="109"/>
  <c r="AA7" i="109"/>
  <c r="AB5" i="4" s="1"/>
  <c r="Z7" i="109"/>
  <c r="Q5" i="4" s="1"/>
  <c r="Y7" i="109"/>
  <c r="X7" i="109"/>
  <c r="W7" i="109"/>
  <c r="J5" i="4" s="1"/>
  <c r="R6" i="109"/>
  <c r="AE6" i="109"/>
  <c r="R5" i="109"/>
  <c r="AE5" i="109"/>
  <c r="AA5" i="109"/>
  <c r="AA5" i="4" s="1"/>
  <c r="Z5" i="109"/>
  <c r="P5" i="4" s="1"/>
  <c r="Y5" i="109"/>
  <c r="H5" i="4" s="1"/>
  <c r="X5" i="109"/>
  <c r="W5" i="109"/>
  <c r="R4" i="109"/>
  <c r="AE4" i="109"/>
  <c r="R3" i="109"/>
  <c r="W42" i="108"/>
  <c r="W41" i="108"/>
  <c r="X40" i="108"/>
  <c r="W40" i="108"/>
  <c r="R44" i="108"/>
  <c r="G4" i="4" s="1"/>
  <c r="AE35" i="108"/>
  <c r="Y35" i="108"/>
  <c r="AE34" i="108"/>
  <c r="AE33" i="108"/>
  <c r="Y33" i="108"/>
  <c r="R38" i="108"/>
  <c r="AE32" i="108"/>
  <c r="R37" i="108"/>
  <c r="AE31" i="108"/>
  <c r="Y31" i="108"/>
  <c r="AE30" i="108"/>
  <c r="AE29" i="108"/>
  <c r="Y29" i="108"/>
  <c r="AE28" i="108"/>
  <c r="R29" i="108"/>
  <c r="AE27" i="108"/>
  <c r="Y27" i="108"/>
  <c r="AE26" i="108"/>
  <c r="R28" i="108"/>
  <c r="AE25" i="108"/>
  <c r="Z25" i="108"/>
  <c r="Z4" i="4" s="1"/>
  <c r="Y25" i="108"/>
  <c r="R27" i="108"/>
  <c r="AE24" i="108"/>
  <c r="R26" i="108"/>
  <c r="AE23" i="108"/>
  <c r="Z23" i="108"/>
  <c r="Y4" i="4" s="1"/>
  <c r="Y23" i="108"/>
  <c r="R25" i="108"/>
  <c r="AE22" i="108"/>
  <c r="R24" i="108"/>
  <c r="AE21" i="108"/>
  <c r="Z21" i="108"/>
  <c r="X4" i="4" s="1"/>
  <c r="Y21" i="108"/>
  <c r="AE20" i="108"/>
  <c r="R23" i="108"/>
  <c r="AE19" i="108"/>
  <c r="Z19" i="108"/>
  <c r="W4" i="4" s="1"/>
  <c r="Y19" i="108"/>
  <c r="R22" i="108"/>
  <c r="AE18" i="108"/>
  <c r="R21" i="108"/>
  <c r="AE17" i="108"/>
  <c r="Z17" i="108"/>
  <c r="V4" i="4" s="1"/>
  <c r="Y17" i="108"/>
  <c r="X17" i="108"/>
  <c r="W17" i="108"/>
  <c r="O4" i="4" s="1"/>
  <c r="R19" i="108"/>
  <c r="AE16" i="108"/>
  <c r="R18" i="108"/>
  <c r="AE15" i="108"/>
  <c r="Z15" i="108"/>
  <c r="U4" i="4" s="1"/>
  <c r="Y15" i="108"/>
  <c r="X15" i="108"/>
  <c r="W15" i="108"/>
  <c r="N4" i="4" s="1"/>
  <c r="R14" i="108"/>
  <c r="AE14" i="108"/>
  <c r="R13" i="108"/>
  <c r="AE13" i="108"/>
  <c r="Z13" i="108"/>
  <c r="T4" i="4" s="1"/>
  <c r="Y13" i="108"/>
  <c r="X13" i="108"/>
  <c r="W13" i="108"/>
  <c r="M4" i="4" s="1"/>
  <c r="R12" i="108"/>
  <c r="AE12" i="108"/>
  <c r="AE11" i="108"/>
  <c r="Z11" i="108"/>
  <c r="S4" i="4" s="1"/>
  <c r="Y11" i="108"/>
  <c r="X11" i="108"/>
  <c r="W11" i="108"/>
  <c r="L4" i="4" s="1"/>
  <c r="AE10" i="108"/>
  <c r="AE9" i="108"/>
  <c r="Z9" i="108"/>
  <c r="R4" i="4" s="1"/>
  <c r="Y9" i="108"/>
  <c r="X9" i="108"/>
  <c r="AD4" i="4" s="1"/>
  <c r="W9" i="108"/>
  <c r="K4" i="4" s="1"/>
  <c r="R8" i="108"/>
  <c r="AE8" i="108"/>
  <c r="R7" i="108"/>
  <c r="AE7" i="108"/>
  <c r="AA7" i="108"/>
  <c r="AB4" i="4" s="1"/>
  <c r="Z7" i="108"/>
  <c r="Q4" i="4" s="1"/>
  <c r="Y7" i="108"/>
  <c r="X7" i="108"/>
  <c r="W7" i="108"/>
  <c r="J4" i="4" s="1"/>
  <c r="R6" i="108"/>
  <c r="AE6" i="108"/>
  <c r="R5" i="108"/>
  <c r="AE5" i="108"/>
  <c r="AA5" i="108"/>
  <c r="AA4" i="4" s="1"/>
  <c r="Z5" i="108"/>
  <c r="P4" i="4" s="1"/>
  <c r="Y5" i="108"/>
  <c r="H4" i="4" s="1"/>
  <c r="X5" i="108"/>
  <c r="W5" i="108"/>
  <c r="R4" i="108"/>
  <c r="AE4" i="108"/>
  <c r="R3" i="108"/>
  <c r="W42" i="107"/>
  <c r="W41" i="107"/>
  <c r="X40" i="107"/>
  <c r="W40" i="107"/>
  <c r="R44" i="107"/>
  <c r="G3" i="4" s="1"/>
  <c r="AE35" i="107"/>
  <c r="Y35" i="107"/>
  <c r="AE34" i="107"/>
  <c r="AE33" i="107"/>
  <c r="Y33" i="107"/>
  <c r="R38" i="107"/>
  <c r="AE32" i="107"/>
  <c r="R37" i="107"/>
  <c r="AE31" i="107"/>
  <c r="Y31" i="107"/>
  <c r="AE30" i="107"/>
  <c r="AE29" i="107"/>
  <c r="Y29" i="107"/>
  <c r="AE28" i="107"/>
  <c r="R29" i="107"/>
  <c r="AE27" i="107"/>
  <c r="Y27" i="107"/>
  <c r="AE26" i="107"/>
  <c r="R28" i="107"/>
  <c r="AE25" i="107"/>
  <c r="Z25" i="107"/>
  <c r="Z3" i="4" s="1"/>
  <c r="Y25" i="107"/>
  <c r="R27" i="107"/>
  <c r="AE24" i="107"/>
  <c r="R26" i="107"/>
  <c r="AE23" i="107"/>
  <c r="Z23" i="107"/>
  <c r="Y3" i="4" s="1"/>
  <c r="Y23" i="107"/>
  <c r="R25" i="107"/>
  <c r="AE22" i="107"/>
  <c r="R24" i="107"/>
  <c r="AE21" i="107"/>
  <c r="Z21" i="107"/>
  <c r="X3" i="4" s="1"/>
  <c r="Y21" i="107"/>
  <c r="AE20" i="107"/>
  <c r="R23" i="107"/>
  <c r="AE19" i="107"/>
  <c r="Z19" i="107"/>
  <c r="W3" i="4" s="1"/>
  <c r="Y19" i="107"/>
  <c r="R22" i="107"/>
  <c r="AE18" i="107"/>
  <c r="R21" i="107"/>
  <c r="AE17" i="107"/>
  <c r="Z17" i="107"/>
  <c r="V3" i="4" s="1"/>
  <c r="Y17" i="107"/>
  <c r="X17" i="107"/>
  <c r="W17" i="107"/>
  <c r="O3" i="4" s="1"/>
  <c r="R19" i="107"/>
  <c r="AE16" i="107"/>
  <c r="R18" i="107"/>
  <c r="AE15" i="107"/>
  <c r="Z15" i="107"/>
  <c r="U3" i="4" s="1"/>
  <c r="Y15" i="107"/>
  <c r="X15" i="107"/>
  <c r="W15" i="107"/>
  <c r="N3" i="4" s="1"/>
  <c r="R14" i="107"/>
  <c r="AE14" i="107"/>
  <c r="R13" i="107"/>
  <c r="AE13" i="107"/>
  <c r="Z13" i="107"/>
  <c r="T3" i="4" s="1"/>
  <c r="Y13" i="107"/>
  <c r="X13" i="107"/>
  <c r="W13" i="107"/>
  <c r="M3" i="4" s="1"/>
  <c r="R12" i="107"/>
  <c r="AE12" i="107"/>
  <c r="AE11" i="107"/>
  <c r="Z11" i="107"/>
  <c r="S3" i="4" s="1"/>
  <c r="Y11" i="107"/>
  <c r="X11" i="107"/>
  <c r="W11" i="107"/>
  <c r="L3" i="4" s="1"/>
  <c r="AE10" i="107"/>
  <c r="AE9" i="107"/>
  <c r="Z9" i="107"/>
  <c r="R3" i="4" s="1"/>
  <c r="Y9" i="107"/>
  <c r="X9" i="107"/>
  <c r="AD3" i="4" s="1"/>
  <c r="W9" i="107"/>
  <c r="K3" i="4" s="1"/>
  <c r="R8" i="107"/>
  <c r="AE8" i="107"/>
  <c r="R7" i="107"/>
  <c r="AE7" i="107"/>
  <c r="AA7" i="107"/>
  <c r="AB3" i="4" s="1"/>
  <c r="Z7" i="107"/>
  <c r="Q3" i="4" s="1"/>
  <c r="Y7" i="107"/>
  <c r="X7" i="107"/>
  <c r="W7" i="107"/>
  <c r="J3" i="4" s="1"/>
  <c r="R6" i="107"/>
  <c r="AE6" i="107"/>
  <c r="R5" i="107"/>
  <c r="AE5" i="107"/>
  <c r="AA5" i="107"/>
  <c r="AA3" i="4" s="1"/>
  <c r="Z5" i="107"/>
  <c r="P3" i="4" s="1"/>
  <c r="Y5" i="107"/>
  <c r="H3" i="4" s="1"/>
  <c r="X5" i="107"/>
  <c r="W5" i="107"/>
  <c r="R4" i="107"/>
  <c r="AE4" i="107"/>
  <c r="R3" i="107"/>
  <c r="W42" i="106"/>
  <c r="W41" i="106"/>
  <c r="X42" i="106"/>
  <c r="W40" i="106"/>
  <c r="R44" i="106"/>
  <c r="G2" i="4" s="1"/>
  <c r="AE35" i="106"/>
  <c r="Y35" i="106"/>
  <c r="AE34" i="106"/>
  <c r="R38" i="106"/>
  <c r="AE33" i="106"/>
  <c r="Y33" i="106"/>
  <c r="R37" i="106"/>
  <c r="AE32" i="106"/>
  <c r="AE31" i="106"/>
  <c r="Y31" i="106"/>
  <c r="AE30" i="106"/>
  <c r="AE29" i="106"/>
  <c r="Y29" i="106"/>
  <c r="AE28" i="106"/>
  <c r="R29" i="106"/>
  <c r="AE27" i="106"/>
  <c r="Y27" i="106"/>
  <c r="AE26" i="106"/>
  <c r="R28" i="106"/>
  <c r="AE25" i="106"/>
  <c r="Z25" i="106"/>
  <c r="Z2" i="4" s="1"/>
  <c r="Y25" i="106"/>
  <c r="R27" i="106"/>
  <c r="AE24" i="106"/>
  <c r="R26" i="106"/>
  <c r="AE23" i="106"/>
  <c r="Z23" i="106"/>
  <c r="Y2" i="4" s="1"/>
  <c r="Y23" i="106"/>
  <c r="R25" i="106"/>
  <c r="AE22" i="106"/>
  <c r="R24" i="106"/>
  <c r="AE21" i="106"/>
  <c r="Z21" i="106"/>
  <c r="X2" i="4" s="1"/>
  <c r="Y21" i="106"/>
  <c r="AE20" i="106"/>
  <c r="R23" i="106"/>
  <c r="AE19" i="106"/>
  <c r="Z19" i="106"/>
  <c r="W2" i="4" s="1"/>
  <c r="Y19" i="106"/>
  <c r="R22" i="106"/>
  <c r="AE18" i="106"/>
  <c r="R21" i="106"/>
  <c r="AE17" i="106"/>
  <c r="Z17" i="106"/>
  <c r="V2" i="4" s="1"/>
  <c r="Y17" i="106"/>
  <c r="X19" i="106"/>
  <c r="W17" i="106"/>
  <c r="O2" i="4" s="1"/>
  <c r="R19" i="106"/>
  <c r="AE16" i="106"/>
  <c r="R18" i="106"/>
  <c r="AE15" i="106"/>
  <c r="Z15" i="106"/>
  <c r="U2" i="4" s="1"/>
  <c r="Y15" i="106"/>
  <c r="X15" i="106"/>
  <c r="W15" i="106"/>
  <c r="N2" i="4" s="1"/>
  <c r="R14" i="106"/>
  <c r="AE14" i="106"/>
  <c r="R13" i="106"/>
  <c r="AE13" i="106"/>
  <c r="Z13" i="106"/>
  <c r="T2" i="4" s="1"/>
  <c r="Y13" i="106"/>
  <c r="X13" i="106"/>
  <c r="W13" i="106"/>
  <c r="M2" i="4" s="1"/>
  <c r="R12" i="106"/>
  <c r="AE12" i="106"/>
  <c r="AE11" i="106"/>
  <c r="Z11" i="106"/>
  <c r="S2" i="4" s="1"/>
  <c r="Y11" i="106"/>
  <c r="X11" i="106"/>
  <c r="W11" i="106"/>
  <c r="L2" i="4" s="1"/>
  <c r="AE10" i="106"/>
  <c r="AE9" i="106"/>
  <c r="Z9" i="106"/>
  <c r="R2" i="4" s="1"/>
  <c r="Y9" i="106"/>
  <c r="X9" i="106"/>
  <c r="AD2" i="4" s="1"/>
  <c r="W9" i="106"/>
  <c r="K2" i="4" s="1"/>
  <c r="R8" i="106"/>
  <c r="AE8" i="106"/>
  <c r="R7" i="106"/>
  <c r="AE7" i="106"/>
  <c r="AA7" i="106"/>
  <c r="AB2" i="4" s="1"/>
  <c r="Z7" i="106"/>
  <c r="Q2" i="4" s="1"/>
  <c r="Y7" i="106"/>
  <c r="X7" i="106"/>
  <c r="W7" i="106"/>
  <c r="J2" i="4" s="1"/>
  <c r="R6" i="106"/>
  <c r="AE6" i="106"/>
  <c r="R5" i="106"/>
  <c r="AE5" i="106"/>
  <c r="AA5" i="106"/>
  <c r="AA2" i="4" s="1"/>
  <c r="Z5" i="106"/>
  <c r="P2" i="4" s="1"/>
  <c r="Y5" i="106"/>
  <c r="H2" i="4" s="1"/>
  <c r="X5" i="106"/>
  <c r="W5" i="106"/>
  <c r="R4" i="106"/>
  <c r="AE4" i="106"/>
  <c r="R3" i="106"/>
  <c r="AE3" i="4" l="1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R33" i="106"/>
  <c r="R34" i="106" s="1"/>
  <c r="AC21" i="4"/>
  <c r="I21" i="4"/>
  <c r="R41" i="125"/>
  <c r="R46" i="125"/>
  <c r="R43" i="125" s="1"/>
  <c r="F20" i="4" s="1"/>
  <c r="H33" i="4"/>
  <c r="AC22" i="4"/>
  <c r="I22" i="4"/>
  <c r="R46" i="137"/>
  <c r="R43" i="137" s="1"/>
  <c r="F32" i="4" s="1"/>
  <c r="AC2" i="4"/>
  <c r="I2" i="4"/>
  <c r="AC3" i="4"/>
  <c r="I3" i="4"/>
  <c r="AC4" i="4"/>
  <c r="I4" i="4"/>
  <c r="AC5" i="4"/>
  <c r="I5" i="4"/>
  <c r="AC6" i="4"/>
  <c r="I6" i="4"/>
  <c r="AC7" i="4"/>
  <c r="I7" i="4"/>
  <c r="AC8" i="4"/>
  <c r="I8" i="4"/>
  <c r="AC9" i="4"/>
  <c r="I9" i="4"/>
  <c r="AC10" i="4"/>
  <c r="I10" i="4"/>
  <c r="AC11" i="4"/>
  <c r="I11" i="4"/>
  <c r="AC12" i="4"/>
  <c r="I12" i="4"/>
  <c r="AC13" i="4"/>
  <c r="I13" i="4"/>
  <c r="AC14" i="4"/>
  <c r="I14" i="4"/>
  <c r="AC15" i="4"/>
  <c r="I15" i="4"/>
  <c r="AC16" i="4"/>
  <c r="I16" i="4"/>
  <c r="AC17" i="4"/>
  <c r="I17" i="4"/>
  <c r="AC18" i="4"/>
  <c r="I18" i="4"/>
  <c r="AC19" i="4"/>
  <c r="I19" i="4"/>
  <c r="AC20" i="4"/>
  <c r="I20" i="4"/>
  <c r="R41" i="126"/>
  <c r="R46" i="133"/>
  <c r="R43" i="133" s="1"/>
  <c r="F28" i="4" s="1"/>
  <c r="R46" i="135"/>
  <c r="R43" i="135" s="1"/>
  <c r="F30" i="4" s="1"/>
  <c r="R41" i="137"/>
  <c r="R49" i="126"/>
  <c r="C21" i="4"/>
  <c r="E21" i="4" s="1"/>
  <c r="R46" i="106"/>
  <c r="R43" i="106" s="1"/>
  <c r="F2" i="4" s="1"/>
  <c r="R41" i="108"/>
  <c r="R46" i="110"/>
  <c r="R43" i="110" s="1"/>
  <c r="F6" i="4" s="1"/>
  <c r="R41" i="114"/>
  <c r="R46" i="116"/>
  <c r="R43" i="116" s="1"/>
  <c r="F11" i="4" s="1"/>
  <c r="R41" i="119"/>
  <c r="R46" i="119"/>
  <c r="R43" i="119" s="1"/>
  <c r="F14" i="4" s="1"/>
  <c r="R41" i="123"/>
  <c r="R46" i="123"/>
  <c r="R43" i="123" s="1"/>
  <c r="F18" i="4" s="1"/>
  <c r="R41" i="124"/>
  <c r="R46" i="124"/>
  <c r="R43" i="124" s="1"/>
  <c r="F19" i="4" s="1"/>
  <c r="R45" i="126"/>
  <c r="R47" i="126" s="1"/>
  <c r="AC23" i="4"/>
  <c r="I23" i="4"/>
  <c r="AC24" i="4"/>
  <c r="I24" i="4"/>
  <c r="AC25" i="4"/>
  <c r="I25" i="4"/>
  <c r="AC26" i="4"/>
  <c r="I26" i="4"/>
  <c r="AC27" i="4"/>
  <c r="I27" i="4"/>
  <c r="AC28" i="4"/>
  <c r="I28" i="4"/>
  <c r="AC29" i="4"/>
  <c r="I29" i="4"/>
  <c r="AC30" i="4"/>
  <c r="I30" i="4"/>
  <c r="AC31" i="4"/>
  <c r="I31" i="4"/>
  <c r="AC32" i="4"/>
  <c r="I32" i="4"/>
  <c r="R46" i="126"/>
  <c r="R43" i="126" s="1"/>
  <c r="F21" i="4" s="1"/>
  <c r="R9" i="127"/>
  <c r="R45" i="106"/>
  <c r="R45" i="109"/>
  <c r="R34" i="109"/>
  <c r="R45" i="110"/>
  <c r="C10" i="4"/>
  <c r="E10" i="4" s="1"/>
  <c r="R45" i="115"/>
  <c r="R34" i="115"/>
  <c r="R45" i="116"/>
  <c r="R46" i="127"/>
  <c r="R43" i="127" s="1"/>
  <c r="F22" i="4" s="1"/>
  <c r="R41" i="131"/>
  <c r="R46" i="131"/>
  <c r="R43" i="131" s="1"/>
  <c r="F26" i="4" s="1"/>
  <c r="R46" i="132"/>
  <c r="R43" i="132" s="1"/>
  <c r="F27" i="4" s="1"/>
  <c r="R41" i="133"/>
  <c r="C29" i="4"/>
  <c r="E29" i="4" s="1"/>
  <c r="R45" i="134"/>
  <c r="R34" i="134"/>
  <c r="R9" i="135"/>
  <c r="R41" i="106"/>
  <c r="R45" i="107"/>
  <c r="R34" i="107"/>
  <c r="R45" i="108"/>
  <c r="R46" i="108"/>
  <c r="R43" i="108" s="1"/>
  <c r="F4" i="4" s="1"/>
  <c r="R41" i="110"/>
  <c r="C7" i="4"/>
  <c r="E7" i="4" s="1"/>
  <c r="R45" i="111"/>
  <c r="R34" i="111"/>
  <c r="R45" i="112"/>
  <c r="R34" i="112"/>
  <c r="R45" i="114"/>
  <c r="R46" i="114"/>
  <c r="R43" i="114" s="1"/>
  <c r="F9" i="4" s="1"/>
  <c r="R41" i="116"/>
  <c r="C12" i="4"/>
  <c r="E12" i="4" s="1"/>
  <c r="R45" i="117"/>
  <c r="R34" i="117"/>
  <c r="R49" i="118"/>
  <c r="R45" i="118"/>
  <c r="R34" i="118"/>
  <c r="R45" i="119"/>
  <c r="C15" i="4"/>
  <c r="E15" i="4" s="1"/>
  <c r="R45" i="120"/>
  <c r="R34" i="120"/>
  <c r="R45" i="121"/>
  <c r="R34" i="121"/>
  <c r="C17" i="4"/>
  <c r="E17" i="4" s="1"/>
  <c r="R45" i="122"/>
  <c r="R34" i="122"/>
  <c r="R45" i="123"/>
  <c r="R9" i="126"/>
  <c r="R45" i="127"/>
  <c r="R41" i="127"/>
  <c r="R45" i="128"/>
  <c r="R34" i="128"/>
  <c r="C24" i="4"/>
  <c r="E24" i="4" s="1"/>
  <c r="R45" i="129"/>
  <c r="R34" i="129"/>
  <c r="R45" i="130"/>
  <c r="R34" i="130"/>
  <c r="R45" i="131"/>
  <c r="C27" i="4"/>
  <c r="E27" i="4" s="1"/>
  <c r="R45" i="132"/>
  <c r="R34" i="132"/>
  <c r="R45" i="133"/>
  <c r="R41" i="135"/>
  <c r="R45" i="136"/>
  <c r="R34" i="136"/>
  <c r="R9" i="137"/>
  <c r="R9" i="108"/>
  <c r="R34" i="108"/>
  <c r="R9" i="114"/>
  <c r="R34" i="114"/>
  <c r="R9" i="119"/>
  <c r="R9" i="106"/>
  <c r="R9" i="110"/>
  <c r="R9" i="116"/>
  <c r="R9" i="133"/>
  <c r="R41" i="134"/>
  <c r="R46" i="134"/>
  <c r="R43" i="134" s="1"/>
  <c r="F29" i="4" s="1"/>
  <c r="R45" i="135"/>
  <c r="R41" i="136"/>
  <c r="R46" i="136"/>
  <c r="R43" i="136" s="1"/>
  <c r="F31" i="4" s="1"/>
  <c r="R45" i="137"/>
  <c r="R47" i="137" s="1"/>
  <c r="R34" i="119"/>
  <c r="R9" i="123"/>
  <c r="R9" i="131"/>
  <c r="R34" i="131"/>
  <c r="R41" i="107"/>
  <c r="R46" i="107"/>
  <c r="R43" i="107" s="1"/>
  <c r="F3" i="4" s="1"/>
  <c r="R41" i="109"/>
  <c r="R46" i="109"/>
  <c r="R43" i="109" s="1"/>
  <c r="F5" i="4" s="1"/>
  <c r="R41" i="111"/>
  <c r="R46" i="111"/>
  <c r="R43" i="111" s="1"/>
  <c r="F7" i="4" s="1"/>
  <c r="R41" i="112"/>
  <c r="R46" i="112"/>
  <c r="R43" i="112" s="1"/>
  <c r="F8" i="4" s="1"/>
  <c r="R41" i="115"/>
  <c r="R46" i="115"/>
  <c r="R43" i="115" s="1"/>
  <c r="F10" i="4" s="1"/>
  <c r="R41" i="117"/>
  <c r="R46" i="117"/>
  <c r="R43" i="117" s="1"/>
  <c r="F12" i="4" s="1"/>
  <c r="R41" i="118"/>
  <c r="R46" i="118"/>
  <c r="R43" i="118" s="1"/>
  <c r="F13" i="4" s="1"/>
  <c r="R41" i="120"/>
  <c r="R46" i="120"/>
  <c r="R43" i="120" s="1"/>
  <c r="F15" i="4" s="1"/>
  <c r="R41" i="121"/>
  <c r="R46" i="121"/>
  <c r="R43" i="121" s="1"/>
  <c r="F16" i="4" s="1"/>
  <c r="R41" i="122"/>
  <c r="R46" i="122"/>
  <c r="R43" i="122" s="1"/>
  <c r="F17" i="4" s="1"/>
  <c r="C19" i="4"/>
  <c r="E19" i="4" s="1"/>
  <c r="R45" i="124"/>
  <c r="R34" i="124"/>
  <c r="R45" i="125"/>
  <c r="R34" i="125"/>
  <c r="R34" i="126"/>
  <c r="R41" i="128"/>
  <c r="R46" i="128"/>
  <c r="R43" i="128" s="1"/>
  <c r="F23" i="4" s="1"/>
  <c r="R41" i="129"/>
  <c r="R46" i="129"/>
  <c r="R43" i="129" s="1"/>
  <c r="F24" i="4" s="1"/>
  <c r="R41" i="130"/>
  <c r="R46" i="130"/>
  <c r="R43" i="130" s="1"/>
  <c r="F25" i="4" s="1"/>
  <c r="R41" i="132"/>
  <c r="R34" i="135"/>
  <c r="R34" i="110"/>
  <c r="R34" i="116"/>
  <c r="R34" i="123"/>
  <c r="R34" i="127"/>
  <c r="R34" i="133"/>
  <c r="R34" i="137"/>
  <c r="R9" i="136"/>
  <c r="R9" i="134"/>
  <c r="R9" i="132"/>
  <c r="R49" i="130"/>
  <c r="R9" i="130"/>
  <c r="R9" i="129"/>
  <c r="R9" i="128"/>
  <c r="R9" i="125"/>
  <c r="R9" i="124"/>
  <c r="R9" i="122"/>
  <c r="R9" i="121"/>
  <c r="R9" i="120"/>
  <c r="R9" i="118"/>
  <c r="R9" i="117"/>
  <c r="R9" i="115"/>
  <c r="R9" i="112"/>
  <c r="R9" i="111"/>
  <c r="R9" i="109"/>
  <c r="R9" i="107"/>
  <c r="R47" i="119" l="1"/>
  <c r="R49" i="134"/>
  <c r="R47" i="131"/>
  <c r="R49" i="115"/>
  <c r="R49" i="120"/>
  <c r="R47" i="134"/>
  <c r="R47" i="116"/>
  <c r="R47" i="115"/>
  <c r="R47" i="110"/>
  <c r="R47" i="106"/>
  <c r="R49" i="111"/>
  <c r="R49" i="117"/>
  <c r="R49" i="122"/>
  <c r="R47" i="124"/>
  <c r="R49" i="129"/>
  <c r="R47" i="132"/>
  <c r="R47" i="117"/>
  <c r="R47" i="112"/>
  <c r="R47" i="111"/>
  <c r="R47" i="108"/>
  <c r="R47" i="135"/>
  <c r="R47" i="136"/>
  <c r="R47" i="114"/>
  <c r="R47" i="120"/>
  <c r="R47" i="122"/>
  <c r="R49" i="124"/>
  <c r="R47" i="129"/>
  <c r="R49" i="132"/>
  <c r="I33" i="4"/>
  <c r="R49" i="125"/>
  <c r="C20" i="4"/>
  <c r="E20" i="4" s="1"/>
  <c r="R49" i="137"/>
  <c r="C32" i="4"/>
  <c r="E32" i="4" s="1"/>
  <c r="R49" i="131"/>
  <c r="C26" i="4"/>
  <c r="E26" i="4" s="1"/>
  <c r="R49" i="119"/>
  <c r="C14" i="4"/>
  <c r="E14" i="4" s="1"/>
  <c r="R49" i="114"/>
  <c r="C9" i="4"/>
  <c r="E9" i="4" s="1"/>
  <c r="R49" i="108"/>
  <c r="C4" i="4"/>
  <c r="E4" i="4" s="1"/>
  <c r="R49" i="110"/>
  <c r="C6" i="4"/>
  <c r="E6" i="4" s="1"/>
  <c r="R49" i="136"/>
  <c r="C31" i="4"/>
  <c r="E31" i="4" s="1"/>
  <c r="R49" i="133"/>
  <c r="C28" i="4"/>
  <c r="E28" i="4" s="1"/>
  <c r="R47" i="130"/>
  <c r="C25" i="4"/>
  <c r="E25" i="4" s="1"/>
  <c r="R47" i="128"/>
  <c r="C23" i="4"/>
  <c r="E23" i="4" s="1"/>
  <c r="R49" i="123"/>
  <c r="C18" i="4"/>
  <c r="E18" i="4" s="1"/>
  <c r="R47" i="121"/>
  <c r="C16" i="4"/>
  <c r="E16" i="4" s="1"/>
  <c r="R47" i="118"/>
  <c r="C13" i="4"/>
  <c r="E13" i="4" s="1"/>
  <c r="R49" i="112"/>
  <c r="C8" i="4"/>
  <c r="E8" i="4" s="1"/>
  <c r="R47" i="107"/>
  <c r="C3" i="4"/>
  <c r="E3" i="4" s="1"/>
  <c r="R49" i="135"/>
  <c r="C30" i="4"/>
  <c r="E30" i="4" s="1"/>
  <c r="R49" i="116"/>
  <c r="C11" i="4"/>
  <c r="E11" i="4" s="1"/>
  <c r="R49" i="109"/>
  <c r="C5" i="4"/>
  <c r="E5" i="4" s="1"/>
  <c r="R49" i="106"/>
  <c r="E2" i="4"/>
  <c r="R49" i="127"/>
  <c r="C22" i="4"/>
  <c r="E22" i="4" s="1"/>
  <c r="R49" i="107"/>
  <c r="R47" i="109"/>
  <c r="R49" i="121"/>
  <c r="R47" i="125"/>
  <c r="R49" i="128"/>
  <c r="R47" i="127"/>
  <c r="R47" i="133"/>
  <c r="R47" i="123"/>
  <c r="I42" i="96" l="1"/>
  <c r="R41" i="96"/>
  <c r="I41" i="96"/>
  <c r="I40" i="96"/>
  <c r="I39" i="96"/>
  <c r="I38" i="96"/>
  <c r="I37" i="96"/>
  <c r="R36" i="96"/>
  <c r="R38" i="96" s="1"/>
  <c r="I36" i="96"/>
  <c r="V35" i="96"/>
  <c r="I35" i="96"/>
  <c r="AB34" i="96"/>
  <c r="I34" i="96"/>
  <c r="AB33" i="96"/>
  <c r="V33" i="96"/>
  <c r="I33" i="96"/>
  <c r="AB32" i="96"/>
  <c r="I32" i="96"/>
  <c r="AB31" i="96"/>
  <c r="V31" i="96"/>
  <c r="I31" i="96"/>
  <c r="AB30" i="96"/>
  <c r="R30" i="96"/>
  <c r="I30" i="96"/>
  <c r="AB29" i="96"/>
  <c r="V29" i="96"/>
  <c r="R29" i="96"/>
  <c r="I29" i="96"/>
  <c r="AB28" i="96"/>
  <c r="R28" i="96"/>
  <c r="R31" i="96" s="1"/>
  <c r="I28" i="96"/>
  <c r="AB27" i="96"/>
  <c r="V27" i="96"/>
  <c r="I27" i="96"/>
  <c r="AB26" i="96"/>
  <c r="I26" i="96"/>
  <c r="AB25" i="96"/>
  <c r="W25" i="96"/>
  <c r="V25" i="96"/>
  <c r="I25" i="96"/>
  <c r="AB24" i="96"/>
  <c r="R24" i="96"/>
  <c r="I24" i="96"/>
  <c r="AB23" i="96"/>
  <c r="W23" i="96"/>
  <c r="V23" i="96"/>
  <c r="R23" i="96"/>
  <c r="I23" i="96"/>
  <c r="AB22" i="96"/>
  <c r="U22" i="96"/>
  <c r="R22" i="96"/>
  <c r="I22" i="96"/>
  <c r="AB21" i="96"/>
  <c r="W21" i="96"/>
  <c r="V21" i="96"/>
  <c r="R21" i="96"/>
  <c r="I21" i="96"/>
  <c r="AB20" i="96"/>
  <c r="R20" i="96"/>
  <c r="I20" i="96"/>
  <c r="AB19" i="96"/>
  <c r="W19" i="96"/>
  <c r="V19" i="96"/>
  <c r="R19" i="96"/>
  <c r="I19" i="96"/>
  <c r="AB18" i="96"/>
  <c r="R18" i="96"/>
  <c r="I18" i="96"/>
  <c r="AB17" i="96"/>
  <c r="W17" i="96"/>
  <c r="V17" i="96"/>
  <c r="U17" i="96"/>
  <c r="T17" i="96"/>
  <c r="R17" i="96"/>
  <c r="I17" i="96"/>
  <c r="AB16" i="96"/>
  <c r="R16" i="96"/>
  <c r="I16" i="96"/>
  <c r="AB15" i="96"/>
  <c r="W15" i="96"/>
  <c r="V15" i="96"/>
  <c r="U15" i="96"/>
  <c r="T15" i="96"/>
  <c r="R15" i="96"/>
  <c r="I15" i="96"/>
  <c r="AB14" i="96"/>
  <c r="R14" i="96"/>
  <c r="I14" i="96"/>
  <c r="AB13" i="96"/>
  <c r="W13" i="96"/>
  <c r="V13" i="96"/>
  <c r="U13" i="96"/>
  <c r="U24" i="96" s="1"/>
  <c r="T13" i="96"/>
  <c r="R13" i="96"/>
  <c r="I13" i="96"/>
  <c r="AB12" i="96"/>
  <c r="R12" i="96"/>
  <c r="R25" i="96" s="1"/>
  <c r="I12" i="96"/>
  <c r="AB11" i="96"/>
  <c r="W11" i="96"/>
  <c r="V11" i="96"/>
  <c r="U11" i="96"/>
  <c r="T11" i="96"/>
  <c r="I11" i="96"/>
  <c r="AB10" i="96"/>
  <c r="I10" i="96"/>
  <c r="AB9" i="96"/>
  <c r="W9" i="96"/>
  <c r="V9" i="96"/>
  <c r="U9" i="96"/>
  <c r="T9" i="96"/>
  <c r="I9" i="96"/>
  <c r="AB8" i="96"/>
  <c r="R8" i="96"/>
  <c r="I8" i="96"/>
  <c r="AB7" i="96"/>
  <c r="X7" i="96"/>
  <c r="W7" i="96"/>
  <c r="V7" i="96"/>
  <c r="U7" i="96"/>
  <c r="T7" i="96"/>
  <c r="R7" i="96"/>
  <c r="I7" i="96"/>
  <c r="AB6" i="96"/>
  <c r="R6" i="96"/>
  <c r="I6" i="96"/>
  <c r="AB5" i="96"/>
  <c r="X5" i="96"/>
  <c r="W5" i="96"/>
  <c r="V5" i="96"/>
  <c r="U5" i="96"/>
  <c r="T5" i="96"/>
  <c r="U20" i="96" s="1"/>
  <c r="R5" i="96"/>
  <c r="I5" i="96"/>
  <c r="AB4" i="96"/>
  <c r="R4" i="96"/>
  <c r="I4" i="96"/>
  <c r="AB3" i="96"/>
  <c r="R3" i="96"/>
  <c r="R37" i="96" s="1"/>
  <c r="I3" i="96"/>
  <c r="R42" i="96" s="1"/>
  <c r="R40" i="96" s="1"/>
  <c r="R39" i="96" l="1"/>
  <c r="R9" i="96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K2" i="4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2" i="38"/>
  <c r="AF33" i="4"/>
  <c r="AG33" i="4"/>
  <c r="AH33" i="4"/>
  <c r="AC33" i="4" l="1"/>
  <c r="AD33" i="4"/>
  <c r="AE33" i="4"/>
  <c r="J33" i="4"/>
  <c r="K33" i="4"/>
  <c r="L33" i="4"/>
  <c r="M33" i="4"/>
  <c r="N33" i="4"/>
  <c r="AA33" i="4"/>
  <c r="AB33" i="4"/>
  <c r="P33" i="4"/>
  <c r="Q33" i="4"/>
  <c r="R33" i="4"/>
  <c r="S33" i="4"/>
  <c r="T33" i="4"/>
  <c r="U33" i="4"/>
  <c r="V33" i="4"/>
  <c r="W33" i="4"/>
  <c r="X33" i="4"/>
  <c r="Y33" i="4"/>
  <c r="Z33" i="4"/>
  <c r="A2" i="4"/>
  <c r="C33" i="4" l="1"/>
  <c r="D33" i="4"/>
  <c r="E33" i="4"/>
  <c r="F33" i="4"/>
  <c r="G33" i="4"/>
  <c r="O33" i="4"/>
  <c r="A3" i="4" l="1"/>
  <c r="A4" i="4" s="1"/>
  <c r="B2" i="4"/>
  <c r="B4" i="4" l="1"/>
  <c r="A5" i="4"/>
  <c r="B3" i="4"/>
  <c r="B5" i="4" l="1"/>
  <c r="A6" i="4"/>
  <c r="A7" i="4" l="1"/>
  <c r="B6" i="4"/>
  <c r="B7" i="4" l="1"/>
  <c r="A8" i="4"/>
  <c r="B8" i="4" l="1"/>
  <c r="A9" i="4"/>
  <c r="A10" i="4" l="1"/>
  <c r="B9" i="4"/>
  <c r="A11" i="4" l="1"/>
  <c r="B10" i="4"/>
  <c r="B11" i="4" l="1"/>
  <c r="A12" i="4"/>
  <c r="B12" i="4" l="1"/>
  <c r="A13" i="4"/>
  <c r="A14" i="4" l="1"/>
  <c r="B13" i="4"/>
  <c r="A15" i="4" l="1"/>
  <c r="B14" i="4"/>
  <c r="B15" i="4" l="1"/>
  <c r="A16" i="4"/>
  <c r="B16" i="4" l="1"/>
  <c r="A17" i="4"/>
  <c r="A18" i="4" l="1"/>
  <c r="B17" i="4"/>
  <c r="A19" i="4" l="1"/>
  <c r="B18" i="4"/>
  <c r="B19" i="4" l="1"/>
  <c r="A20" i="4"/>
  <c r="B20" i="4" l="1"/>
  <c r="A21" i="4"/>
  <c r="A22" i="4" l="1"/>
  <c r="B21" i="4"/>
  <c r="A23" i="4" l="1"/>
  <c r="B22" i="4"/>
  <c r="B23" i="4" l="1"/>
  <c r="A24" i="4"/>
  <c r="B24" i="4" l="1"/>
  <c r="A25" i="4"/>
  <c r="A26" i="4" l="1"/>
  <c r="B25" i="4"/>
  <c r="A27" i="4" l="1"/>
  <c r="B26" i="4"/>
  <c r="B27" i="4" l="1"/>
  <c r="A28" i="4"/>
  <c r="B28" i="4" l="1"/>
  <c r="A29" i="4"/>
  <c r="A30" i="4" l="1"/>
  <c r="B29" i="4"/>
  <c r="A31" i="4" l="1"/>
  <c r="B30" i="4"/>
  <c r="B31" i="4" l="1"/>
  <c r="A32" i="4"/>
  <c r="B32" i="4" s="1"/>
</calcChain>
</file>

<file path=xl/sharedStrings.xml><?xml version="1.0" encoding="utf-8"?>
<sst xmlns="http://schemas.openxmlformats.org/spreadsheetml/2006/main" count="5132" uniqueCount="160">
  <si>
    <t>氏名</t>
    <rPh sb="0" eb="2">
      <t>シメイ</t>
    </rPh>
    <phoneticPr fontId="1"/>
  </si>
  <si>
    <t>施術</t>
    <rPh sb="0" eb="2">
      <t>セジュツ</t>
    </rPh>
    <phoneticPr fontId="1"/>
  </si>
  <si>
    <t>時間</t>
    <rPh sb="0" eb="2">
      <t>ジカン</t>
    </rPh>
    <phoneticPr fontId="1"/>
  </si>
  <si>
    <t>予約</t>
    <rPh sb="0" eb="2">
      <t>ヨヤク</t>
    </rPh>
    <phoneticPr fontId="1"/>
  </si>
  <si>
    <t>年齢</t>
    <rPh sb="0" eb="2">
      <t>ネンレイ</t>
    </rPh>
    <phoneticPr fontId="1"/>
  </si>
  <si>
    <t>支払</t>
    <rPh sb="0" eb="1">
      <t>シ</t>
    </rPh>
    <rPh sb="1" eb="2">
      <t>ハラ</t>
    </rPh>
    <phoneticPr fontId="1"/>
  </si>
  <si>
    <t>来院</t>
    <rPh sb="0" eb="2">
      <t>ライイン</t>
    </rPh>
    <phoneticPr fontId="1"/>
  </si>
  <si>
    <t>備考</t>
    <rPh sb="0" eb="2">
      <t>ビコウ</t>
    </rPh>
    <phoneticPr fontId="1"/>
  </si>
  <si>
    <t>担当</t>
    <rPh sb="0" eb="2">
      <t>タントウ</t>
    </rPh>
    <phoneticPr fontId="1"/>
  </si>
  <si>
    <t>保険</t>
    <rPh sb="0" eb="2">
      <t>ホケン</t>
    </rPh>
    <phoneticPr fontId="1"/>
  </si>
  <si>
    <t>深層筋</t>
    <rPh sb="0" eb="3">
      <t>シンソウキン</t>
    </rPh>
    <phoneticPr fontId="1"/>
  </si>
  <si>
    <t>産後</t>
    <rPh sb="0" eb="2">
      <t>サンゴ</t>
    </rPh>
    <phoneticPr fontId="1"/>
  </si>
  <si>
    <t>B・コン</t>
    <phoneticPr fontId="1"/>
  </si>
  <si>
    <t>I・コン</t>
    <phoneticPr fontId="1"/>
  </si>
  <si>
    <t>延10</t>
    <rPh sb="0" eb="1">
      <t>エン</t>
    </rPh>
    <phoneticPr fontId="1"/>
  </si>
  <si>
    <t>パーソナル</t>
    <phoneticPr fontId="1"/>
  </si>
  <si>
    <t>有</t>
    <rPh sb="0" eb="1">
      <t>ユウ</t>
    </rPh>
    <phoneticPr fontId="1"/>
  </si>
  <si>
    <t>無</t>
    <rPh sb="0" eb="1">
      <t>ム</t>
    </rPh>
    <phoneticPr fontId="1"/>
  </si>
  <si>
    <t>料金</t>
    <rPh sb="0" eb="2">
      <t>リョウキン</t>
    </rPh>
    <phoneticPr fontId="1"/>
  </si>
  <si>
    <t>性別</t>
    <rPh sb="0" eb="2">
      <t>セイベツ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</si>
  <si>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</si>
  <si>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</si>
  <si>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20代</t>
    <rPh sb="2" eb="3">
      <t>ダイ</t>
    </rPh>
    <phoneticPr fontId="1"/>
  </si>
  <si>
    <t>30代</t>
  </si>
  <si>
    <t>40代</t>
  </si>
  <si>
    <t>90代</t>
  </si>
  <si>
    <t>60代</t>
    <phoneticPr fontId="1"/>
  </si>
  <si>
    <t>50代</t>
    <rPh sb="2" eb="3">
      <t>ダイ</t>
    </rPh>
    <phoneticPr fontId="1"/>
  </si>
  <si>
    <t>70代</t>
    <rPh sb="2" eb="3">
      <t>ダイ</t>
    </rPh>
    <phoneticPr fontId="1"/>
  </si>
  <si>
    <t>80代</t>
    <rPh sb="2" eb="3">
      <t>ダイ</t>
    </rPh>
    <phoneticPr fontId="1"/>
  </si>
  <si>
    <t>性</t>
    <rPh sb="0" eb="1">
      <t>セイ</t>
    </rPh>
    <phoneticPr fontId="1"/>
  </si>
  <si>
    <t>支払</t>
    <rPh sb="0" eb="2">
      <t>シハラ</t>
    </rPh>
    <phoneticPr fontId="1"/>
  </si>
  <si>
    <t>初</t>
    <rPh sb="0" eb="1">
      <t>ショ</t>
    </rPh>
    <phoneticPr fontId="1"/>
  </si>
  <si>
    <t>5上</t>
    <rPh sb="1" eb="2">
      <t>ウエ</t>
    </rPh>
    <phoneticPr fontId="1"/>
  </si>
  <si>
    <t>10上</t>
    <rPh sb="2" eb="3">
      <t>ウエ</t>
    </rPh>
    <phoneticPr fontId="1"/>
  </si>
  <si>
    <t>20上</t>
    <rPh sb="2" eb="3">
      <t>ウエ</t>
    </rPh>
    <phoneticPr fontId="1"/>
  </si>
  <si>
    <t>週1</t>
    <rPh sb="0" eb="1">
      <t>シュウ</t>
    </rPh>
    <phoneticPr fontId="1"/>
  </si>
  <si>
    <t>週2</t>
    <rPh sb="0" eb="1">
      <t>シュウ</t>
    </rPh>
    <phoneticPr fontId="1"/>
  </si>
  <si>
    <t>週3</t>
    <rPh sb="0" eb="1">
      <t>シュウ</t>
    </rPh>
    <phoneticPr fontId="1"/>
  </si>
  <si>
    <t>毎</t>
    <rPh sb="0" eb="1">
      <t>マイ</t>
    </rPh>
    <phoneticPr fontId="1"/>
  </si>
  <si>
    <t>1/2W</t>
    <phoneticPr fontId="1"/>
  </si>
  <si>
    <t>1/3W</t>
    <phoneticPr fontId="1"/>
  </si>
  <si>
    <t>月1</t>
    <rPh sb="0" eb="1">
      <t>ツキ</t>
    </rPh>
    <phoneticPr fontId="1"/>
  </si>
  <si>
    <t>不</t>
    <rPh sb="0" eb="1">
      <t>フ</t>
    </rPh>
    <phoneticPr fontId="1"/>
  </si>
  <si>
    <t>再</t>
    <rPh sb="0" eb="1">
      <t>サイ</t>
    </rPh>
    <phoneticPr fontId="1"/>
  </si>
  <si>
    <t>担</t>
    <rPh sb="0" eb="1">
      <t>タン</t>
    </rPh>
    <phoneticPr fontId="1"/>
  </si>
  <si>
    <t>材料費</t>
    <rPh sb="0" eb="3">
      <t>ザイリョウヒ</t>
    </rPh>
    <phoneticPr fontId="1"/>
  </si>
  <si>
    <t>合計</t>
    <rPh sb="0" eb="2">
      <t>ゴウケイ</t>
    </rPh>
    <phoneticPr fontId="1"/>
  </si>
  <si>
    <t>計</t>
    <rPh sb="0" eb="1">
      <t>ケイ</t>
    </rPh>
    <phoneticPr fontId="1"/>
  </si>
  <si>
    <t>総人数</t>
    <rPh sb="0" eb="3">
      <t>ソウニンズウ</t>
    </rPh>
    <phoneticPr fontId="1"/>
  </si>
  <si>
    <t>自費</t>
    <rPh sb="0" eb="2">
      <t>ジヒ</t>
    </rPh>
    <phoneticPr fontId="1"/>
  </si>
  <si>
    <t>現金</t>
    <rPh sb="0" eb="2">
      <t>ゲンキン</t>
    </rPh>
    <phoneticPr fontId="1"/>
  </si>
  <si>
    <t>窓口売上</t>
    <rPh sb="0" eb="3">
      <t>マドグチウ</t>
    </rPh>
    <rPh sb="3" eb="4">
      <t>ア</t>
    </rPh>
    <phoneticPr fontId="1"/>
  </si>
  <si>
    <t>男女比</t>
    <rPh sb="0" eb="3">
      <t>ダンジョヒ</t>
    </rPh>
    <phoneticPr fontId="1"/>
  </si>
  <si>
    <t>年齢比</t>
    <rPh sb="0" eb="3">
      <t>ネンレイヒ</t>
    </rPh>
    <phoneticPr fontId="1"/>
  </si>
  <si>
    <t>30代</t>
    <rPh sb="2" eb="3">
      <t>ダイ</t>
    </rPh>
    <phoneticPr fontId="1"/>
  </si>
  <si>
    <t>40代</t>
    <rPh sb="2" eb="3">
      <t>ダイ</t>
    </rPh>
    <phoneticPr fontId="1"/>
  </si>
  <si>
    <t>60代</t>
    <rPh sb="2" eb="3">
      <t>ダイ</t>
    </rPh>
    <phoneticPr fontId="1"/>
  </si>
  <si>
    <t>90代</t>
    <rPh sb="2" eb="3">
      <t>ダイ</t>
    </rPh>
    <phoneticPr fontId="1"/>
  </si>
  <si>
    <t>初診</t>
    <rPh sb="0" eb="2">
      <t>ショシン</t>
    </rPh>
    <phoneticPr fontId="1"/>
  </si>
  <si>
    <t>日計表</t>
    <rPh sb="0" eb="3">
      <t>ニッケイヒョウ</t>
    </rPh>
    <phoneticPr fontId="1"/>
  </si>
  <si>
    <t>保険金額</t>
    <rPh sb="0" eb="2">
      <t>ホケン</t>
    </rPh>
    <rPh sb="2" eb="4">
      <t>キンガク</t>
    </rPh>
    <phoneticPr fontId="1"/>
  </si>
  <si>
    <t>自費金額</t>
    <rPh sb="0" eb="2">
      <t>ジヒ</t>
    </rPh>
    <rPh sb="2" eb="4">
      <t>キンガク</t>
    </rPh>
    <phoneticPr fontId="1"/>
  </si>
  <si>
    <t>保険売上</t>
    <rPh sb="0" eb="2">
      <t>ホケン</t>
    </rPh>
    <rPh sb="2" eb="4">
      <t>ウリアゲ</t>
    </rPh>
    <phoneticPr fontId="1"/>
  </si>
  <si>
    <t>延・材</t>
    <rPh sb="0" eb="1">
      <t>エン</t>
    </rPh>
    <rPh sb="2" eb="3">
      <t>ザイ</t>
    </rPh>
    <phoneticPr fontId="1"/>
  </si>
  <si>
    <t>延長</t>
    <rPh sb="0" eb="2">
      <t>エンチョウ</t>
    </rPh>
    <phoneticPr fontId="1"/>
  </si>
  <si>
    <t>材料</t>
    <rPh sb="0" eb="2">
      <t>ザイリョウ</t>
    </rPh>
    <phoneticPr fontId="1"/>
  </si>
  <si>
    <t>自費売上</t>
    <rPh sb="0" eb="2">
      <t>ジヒ</t>
    </rPh>
    <rPh sb="2" eb="4">
      <t>ウリアゲ</t>
    </rPh>
    <phoneticPr fontId="1"/>
  </si>
  <si>
    <t>時</t>
    <rPh sb="0" eb="1">
      <t>トキ</t>
    </rPh>
    <phoneticPr fontId="1"/>
  </si>
  <si>
    <t>上</t>
    <rPh sb="0" eb="1">
      <t>ウエ</t>
    </rPh>
    <phoneticPr fontId="1"/>
  </si>
  <si>
    <t>出</t>
    <rPh sb="0" eb="1">
      <t>デ</t>
    </rPh>
    <phoneticPr fontId="1"/>
  </si>
  <si>
    <t>電子決済</t>
    <rPh sb="0" eb="4">
      <t>デンシケッサイ</t>
    </rPh>
    <phoneticPr fontId="1"/>
  </si>
  <si>
    <t>電</t>
    <rPh sb="0" eb="1">
      <t>デン</t>
    </rPh>
    <phoneticPr fontId="1"/>
  </si>
  <si>
    <t>自賠責</t>
    <rPh sb="0" eb="3">
      <t>ジバイセキ</t>
    </rPh>
    <phoneticPr fontId="1"/>
  </si>
  <si>
    <t>キャンペーン</t>
    <phoneticPr fontId="1"/>
  </si>
  <si>
    <t>自賠¥3500</t>
    <rPh sb="0" eb="2">
      <t>ジバイ</t>
    </rPh>
    <phoneticPr fontId="1"/>
  </si>
  <si>
    <t>高</t>
    <rPh sb="0" eb="1">
      <t>コウ</t>
    </rPh>
    <phoneticPr fontId="1"/>
  </si>
  <si>
    <t>大</t>
    <rPh sb="0" eb="1">
      <t>ダイ</t>
    </rPh>
    <phoneticPr fontId="1"/>
  </si>
  <si>
    <t>15下</t>
    <rPh sb="2" eb="3">
      <t>シタ</t>
    </rPh>
    <phoneticPr fontId="1"/>
  </si>
  <si>
    <t>窓口売上</t>
    <rPh sb="0" eb="2">
      <t>マドグチ</t>
    </rPh>
    <rPh sb="2" eb="4">
      <t>ウリアゲ</t>
    </rPh>
    <phoneticPr fontId="1"/>
  </si>
  <si>
    <t>総売</t>
    <rPh sb="0" eb="2">
      <t>ソウウ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</si>
  <si>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</si>
  <si>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</si>
  <si>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</si>
  <si>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</si>
  <si>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総人</t>
    <rPh sb="0" eb="1">
      <t>ソウ</t>
    </rPh>
    <rPh sb="1" eb="2">
      <t>ヒト</t>
    </rPh>
    <phoneticPr fontId="1"/>
  </si>
  <si>
    <t>保人</t>
    <rPh sb="0" eb="1">
      <t>ホ</t>
    </rPh>
    <rPh sb="1" eb="2">
      <t>ニン</t>
    </rPh>
    <phoneticPr fontId="1"/>
  </si>
  <si>
    <t>高校</t>
    <rPh sb="0" eb="2">
      <t>コウコウ</t>
    </rPh>
    <phoneticPr fontId="1"/>
  </si>
  <si>
    <t>大学</t>
    <rPh sb="0" eb="2">
      <t>ダイガク</t>
    </rPh>
    <phoneticPr fontId="1"/>
  </si>
  <si>
    <t>B</t>
    <phoneticPr fontId="1"/>
  </si>
  <si>
    <t>I</t>
    <phoneticPr fontId="1"/>
  </si>
  <si>
    <t>保・15</t>
    <rPh sb="0" eb="1">
      <t>ホ</t>
    </rPh>
    <phoneticPr fontId="1"/>
  </si>
  <si>
    <t>延・20</t>
    <rPh sb="0" eb="1">
      <t>エン</t>
    </rPh>
    <phoneticPr fontId="1"/>
  </si>
  <si>
    <t>4~90</t>
    <phoneticPr fontId="1"/>
  </si>
  <si>
    <t>4～90</t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</si>
  <si>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</si>
  <si>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</si>
  <si>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夕以降</t>
    <rPh sb="0" eb="1">
      <t>ユウ</t>
    </rPh>
    <rPh sb="1" eb="3">
      <t>イコウ</t>
    </rPh>
    <phoneticPr fontId="1"/>
  </si>
  <si>
    <t>目次</t>
    <rPh sb="0" eb="2">
      <t>モクジ</t>
    </rPh>
    <phoneticPr fontId="1"/>
  </si>
  <si>
    <t>月データ</t>
    <rPh sb="0" eb="1">
      <t>ツキ</t>
    </rPh>
    <phoneticPr fontId="1"/>
  </si>
  <si>
    <t>シート</t>
    <phoneticPr fontId="1"/>
  </si>
  <si>
    <t>時田</t>
    <rPh sb="0" eb="2">
      <t>トキタ</t>
    </rPh>
    <phoneticPr fontId="1"/>
  </si>
  <si>
    <t>保険人数</t>
    <rPh sb="0" eb="2">
      <t>ホケン</t>
    </rPh>
    <rPh sb="2" eb="4">
      <t>ニンズウ</t>
    </rPh>
    <phoneticPr fontId="1"/>
  </si>
  <si>
    <t>上田</t>
    <rPh sb="0" eb="2">
      <t>ウエダ</t>
    </rPh>
    <phoneticPr fontId="1"/>
  </si>
  <si>
    <t>出口</t>
    <rPh sb="0" eb="2">
      <t>デグチ</t>
    </rPh>
    <phoneticPr fontId="1"/>
  </si>
  <si>
    <t>MT</t>
    <phoneticPr fontId="1"/>
  </si>
  <si>
    <t>保延</t>
    <rPh sb="0" eb="1">
      <t>ホ</t>
    </rPh>
    <rPh sb="1" eb="2">
      <t>エン</t>
    </rPh>
    <phoneticPr fontId="1"/>
  </si>
  <si>
    <t>保延</t>
    <rPh sb="0" eb="1">
      <t>ホ</t>
    </rPh>
    <rPh sb="1" eb="2">
      <t>エン</t>
    </rPh>
    <phoneticPr fontId="1"/>
  </si>
  <si>
    <t>自費人数</t>
    <rPh sb="0" eb="2">
      <t>ジヒ</t>
    </rPh>
    <rPh sb="2" eb="4">
      <t>ニンズウ</t>
    </rPh>
    <phoneticPr fontId="1"/>
  </si>
  <si>
    <t>自費売上</t>
    <rPh sb="0" eb="4">
      <t>ジヒウリアゲ</t>
    </rPh>
    <phoneticPr fontId="1"/>
  </si>
  <si>
    <t>自費人数</t>
    <rPh sb="0" eb="4">
      <t>ジヒニンズウ</t>
    </rPh>
    <phoneticPr fontId="1"/>
  </si>
  <si>
    <t>初</t>
    <rPh sb="0" eb="1">
      <t>ハツ</t>
    </rPh>
    <phoneticPr fontId="1"/>
  </si>
  <si>
    <t>2以上</t>
    <rPh sb="1" eb="3">
      <t>イジョウ</t>
    </rPh>
    <phoneticPr fontId="1"/>
  </si>
  <si>
    <t>15・20</t>
    <phoneticPr fontId="1"/>
  </si>
  <si>
    <t>助成</t>
    <rPh sb="0" eb="2">
      <t>ジョセイ</t>
    </rPh>
    <phoneticPr fontId="1"/>
  </si>
  <si>
    <t>P・深層</t>
    <rPh sb="2" eb="4">
      <t>シンソウ</t>
    </rPh>
    <phoneticPr fontId="1"/>
  </si>
  <si>
    <t>P・深</t>
    <rPh sb="2" eb="3">
      <t>シン</t>
    </rPh>
    <phoneticPr fontId="1"/>
  </si>
  <si>
    <t>令和6年　月　日　()</t>
    <rPh sb="0" eb="2">
      <t>レイワ</t>
    </rPh>
    <rPh sb="3" eb="4">
      <t>ネン</t>
    </rPh>
    <rPh sb="5" eb="6">
      <t>ガツ</t>
    </rPh>
    <rPh sb="7" eb="8">
      <t>ニチ</t>
    </rPh>
    <phoneticPr fontId="1"/>
  </si>
  <si>
    <t>自費1</t>
    <rPh sb="0" eb="2">
      <t>ジヒ</t>
    </rPh>
    <phoneticPr fontId="1"/>
  </si>
  <si>
    <t>自費2</t>
    <rPh sb="0" eb="2">
      <t>ジヒ</t>
    </rPh>
    <phoneticPr fontId="1"/>
  </si>
  <si>
    <t>材・販</t>
    <rPh sb="0" eb="1">
      <t>ザイ</t>
    </rPh>
    <rPh sb="2" eb="3">
      <t>ハン</t>
    </rPh>
    <phoneticPr fontId="1"/>
  </si>
  <si>
    <t>材料・販売</t>
    <rPh sb="0" eb="2">
      <t>ザイリョウ</t>
    </rPh>
    <rPh sb="3" eb="5">
      <t>ハンバイ</t>
    </rPh>
    <phoneticPr fontId="1"/>
  </si>
  <si>
    <t>紹介割</t>
    <rPh sb="0" eb="2">
      <t>ショウカイ</t>
    </rPh>
    <rPh sb="2" eb="3">
      <t>ワリ</t>
    </rPh>
    <phoneticPr fontId="1"/>
  </si>
  <si>
    <t>深夜整体</t>
    <rPh sb="0" eb="4">
      <t>シンヤセイタイ</t>
    </rPh>
    <phoneticPr fontId="1"/>
  </si>
  <si>
    <t>自費3</t>
    <phoneticPr fontId="1"/>
  </si>
  <si>
    <t>MT＋I</t>
    <phoneticPr fontId="1"/>
  </si>
  <si>
    <t>自賠¥3600</t>
    <rPh sb="0" eb="2">
      <t>ジバイ</t>
    </rPh>
    <phoneticPr fontId="1"/>
  </si>
  <si>
    <t>商品券</t>
    <rPh sb="0" eb="3">
      <t>ショウヒンケン</t>
    </rPh>
    <phoneticPr fontId="1"/>
  </si>
  <si>
    <t>枚</t>
    <rPh sb="0" eb="1">
      <t>マイ</t>
    </rPh>
    <phoneticPr fontId="1"/>
  </si>
  <si>
    <t>令和8年　月　1日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</si>
  <si>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2日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</si>
  <si>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3日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</si>
  <si>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4日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</si>
  <si>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5日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</si>
  <si>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6日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</si>
  <si>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7日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</si>
  <si>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8日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</si>
  <si>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9日　()</t>
    <rPh sb="0" eb="2">
      <t>レイワ</t>
    </rPh>
    <rPh sb="3" eb="4">
      <t>ネン</t>
    </rPh>
    <rPh sb="5" eb="6">
      <t>ガツ</t>
    </rPh>
    <rPh sb="8" eb="9">
      <t>ニチ</t>
    </rPh>
    <phoneticPr fontId="1"/>
  </si>
  <si>
    <t>令和8年　月　10日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</si>
  <si>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11日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</si>
  <si>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12日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</si>
  <si>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13日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</si>
  <si>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14日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</si>
  <si>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15日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</si>
  <si>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16日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</si>
  <si>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17日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</si>
  <si>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18日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</si>
  <si>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19日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</si>
  <si>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20日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</si>
  <si>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21日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</si>
  <si>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22日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</si>
  <si>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23日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</si>
  <si>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24日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</si>
  <si>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25日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</si>
  <si>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26日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</si>
  <si>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27日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</si>
  <si>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28日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</si>
  <si>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29日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</si>
  <si>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30日　()</t>
    <rPh sb="0" eb="2">
      <t>レイワ</t>
    </rPh>
    <rPh sb="3" eb="4">
      <t>ネン</t>
    </rPh>
    <rPh sb="5" eb="6">
      <t>ガツ</t>
    </rPh>
    <rPh sb="9" eb="10">
      <t>ニチ</t>
    </rPh>
    <phoneticPr fontId="1"/>
  </si>
  <si>
    <t>令和8年　月　31日　()</t>
    <rPh sb="0" eb="2">
      <t>レイワ</t>
    </rPh>
    <rPh sb="3" eb="4">
      <t>ネン</t>
    </rPh>
    <rPh sb="5" eb="6">
      <t>ガツ</t>
    </rPh>
    <rPh sb="9" eb="10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</si>
</sst>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42" formatCode="_ &quot;¥&quot;* #,##0_ ;_ &quot;¥&quot;* \-#,##0_ ;_ &quot;¥&quot;* &quot;-&quot;_ ;_ @_ "/>
    <numFmt numFmtId="176" formatCode="&quot;¥&quot;#,##0_);[Red]\(&quot;¥&quot;#,##0\)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9"/>
      <color theme="10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u/>
      <sz val="6"/>
      <color theme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7"/>
      <color theme="1"/>
      <name val="游ゴシック"/>
      <family val="2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0"/>
      <color indexed="8"/>
      <name val="游ゴシック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BC5E7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D1D8EF"/>
        <bgColor indexed="64"/>
      </patternFill>
    </fill>
    <fill>
      <patternFill patternType="solid">
        <fgColor rgb="FFFEF8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9BFFC8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FF9F9F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5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left" vertical="center"/>
    </xf>
    <xf numFmtId="0" fontId="0" fillId="5" borderId="4" xfId="0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9" fillId="5" borderId="4" xfId="0" applyFont="1" applyFill="1" applyBorder="1">
      <alignment vertical="center"/>
    </xf>
    <xf numFmtId="0" fontId="8" fillId="5" borderId="4" xfId="0" applyFont="1" applyFill="1" applyBorder="1" applyAlignment="1">
      <alignment horizontal="left" vertical="center"/>
    </xf>
    <xf numFmtId="0" fontId="5" fillId="5" borderId="4" xfId="0" applyFont="1" applyFill="1" applyBorder="1">
      <alignment vertical="center"/>
    </xf>
    <xf numFmtId="4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6" borderId="4" xfId="0" applyFill="1" applyBorder="1">
      <alignment vertical="center"/>
    </xf>
    <xf numFmtId="0" fontId="0" fillId="6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6" borderId="4" xfId="0" applyFont="1" applyFill="1" applyBorder="1">
      <alignment vertical="center"/>
    </xf>
    <xf numFmtId="0" fontId="5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0" fillId="8" borderId="0" xfId="0" applyFill="1" applyBorder="1">
      <alignment vertical="center"/>
    </xf>
    <xf numFmtId="0" fontId="9" fillId="8" borderId="0" xfId="0" applyFont="1" applyFill="1" applyBorder="1">
      <alignment vertical="center"/>
    </xf>
    <xf numFmtId="0" fontId="8" fillId="8" borderId="0" xfId="0" applyFont="1" applyFill="1" applyBorder="1" applyAlignment="1">
      <alignment horizontal="left" vertical="center"/>
    </xf>
    <xf numFmtId="0" fontId="5" fillId="8" borderId="0" xfId="0" applyFont="1" applyFill="1" applyBorder="1">
      <alignment vertical="center"/>
    </xf>
    <xf numFmtId="0" fontId="0" fillId="5" borderId="8" xfId="0" applyFill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42" fontId="8" fillId="0" borderId="3" xfId="0" applyNumberFormat="1" applyFont="1" applyBorder="1">
      <alignment vertical="center"/>
    </xf>
    <xf numFmtId="42" fontId="8" fillId="0" borderId="14" xfId="0" applyNumberFormat="1" applyFont="1" applyBorder="1">
      <alignment vertical="center"/>
    </xf>
    <xf numFmtId="176" fontId="8" fillId="0" borderId="1" xfId="0" applyNumberFormat="1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42" fontId="8" fillId="0" borderId="0" xfId="0" applyNumberFormat="1" applyFont="1" applyBorder="1">
      <alignment vertical="center"/>
    </xf>
    <xf numFmtId="176" fontId="0" fillId="0" borderId="0" xfId="0" applyNumberFormat="1" applyBorder="1">
      <alignment vertical="center"/>
    </xf>
    <xf numFmtId="42" fontId="0" fillId="0" borderId="0" xfId="0" applyNumberFormat="1" applyBorder="1">
      <alignment vertical="center"/>
    </xf>
    <xf numFmtId="0" fontId="11" fillId="0" borderId="0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9" borderId="1" xfId="0" applyFill="1" applyBorder="1">
      <alignment vertical="center"/>
    </xf>
    <xf numFmtId="42" fontId="0" fillId="9" borderId="1" xfId="0" applyNumberFormat="1" applyFill="1" applyBorder="1">
      <alignment vertical="center"/>
    </xf>
    <xf numFmtId="0" fontId="8" fillId="0" borderId="4" xfId="0" applyNumberFormat="1" applyFont="1" applyBorder="1" applyAlignment="1">
      <alignment horizontal="center" vertical="center"/>
    </xf>
    <xf numFmtId="6" fontId="0" fillId="0" borderId="4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2" fontId="0" fillId="8" borderId="0" xfId="0" applyNumberFormat="1" applyFill="1" applyBorder="1">
      <alignment vertical="center"/>
    </xf>
    <xf numFmtId="0" fontId="0" fillId="0" borderId="0" xfId="0" applyNumberFormat="1" applyBorder="1">
      <alignment vertical="center"/>
    </xf>
    <xf numFmtId="176" fontId="0" fillId="0" borderId="6" xfId="0" applyNumberFormat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0" fontId="9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4" fontId="0" fillId="0" borderId="23" xfId="0" applyNumberFormat="1" applyBorder="1">
      <alignment vertical="center"/>
    </xf>
    <xf numFmtId="14" fontId="0" fillId="0" borderId="24" xfId="0" applyNumberFormat="1" applyBorder="1">
      <alignment vertical="center"/>
    </xf>
    <xf numFmtId="14" fontId="0" fillId="0" borderId="25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76" fontId="0" fillId="10" borderId="1" xfId="0" applyNumberFormat="1" applyFill="1" applyBorder="1">
      <alignment vertical="center"/>
    </xf>
    <xf numFmtId="0" fontId="0" fillId="10" borderId="1" xfId="0" applyNumberFormat="1" applyFill="1" applyBorder="1">
      <alignment vertical="center"/>
    </xf>
    <xf numFmtId="0" fontId="0" fillId="10" borderId="3" xfId="0" applyNumberFormat="1" applyFill="1" applyBorder="1">
      <alignment vertical="center"/>
    </xf>
    <xf numFmtId="0" fontId="0" fillId="10" borderId="3" xfId="0" applyNumberFormat="1" applyFont="1" applyFill="1" applyBorder="1">
      <alignment vertical="center"/>
    </xf>
    <xf numFmtId="0" fontId="5" fillId="11" borderId="32" xfId="0" applyFont="1" applyFill="1" applyBorder="1" applyAlignment="1">
      <alignment horizontal="right" vertical="center"/>
    </xf>
    <xf numFmtId="0" fontId="5" fillId="11" borderId="21" xfId="0" applyFont="1" applyFill="1" applyBorder="1" applyAlignment="1">
      <alignment horizontal="right" vertical="center"/>
    </xf>
    <xf numFmtId="176" fontId="0" fillId="13" borderId="20" xfId="0" applyNumberFormat="1" applyFill="1" applyBorder="1" applyAlignment="1">
      <alignment horizontal="right" vertical="center"/>
    </xf>
    <xf numFmtId="176" fontId="0" fillId="13" borderId="27" xfId="0" applyNumberFormat="1" applyFill="1" applyBorder="1" applyAlignment="1">
      <alignment horizontal="right" vertical="center"/>
    </xf>
    <xf numFmtId="176" fontId="0" fillId="13" borderId="28" xfId="0" applyNumberFormat="1" applyFill="1" applyBorder="1" applyAlignment="1">
      <alignment horizontal="right" vertical="center"/>
    </xf>
    <xf numFmtId="176" fontId="0" fillId="13" borderId="30" xfId="0" applyNumberFormat="1" applyFill="1" applyBorder="1" applyAlignment="1">
      <alignment horizontal="right" vertical="center"/>
    </xf>
    <xf numFmtId="0" fontId="5" fillId="14" borderId="27" xfId="0" applyFont="1" applyFill="1" applyBorder="1" applyAlignment="1">
      <alignment horizontal="right" vertical="center"/>
    </xf>
    <xf numFmtId="0" fontId="5" fillId="14" borderId="32" xfId="0" applyFont="1" applyFill="1" applyBorder="1" applyAlignment="1">
      <alignment horizontal="right" vertical="center"/>
    </xf>
    <xf numFmtId="0" fontId="5" fillId="14" borderId="34" xfId="0" applyFont="1" applyFill="1" applyBorder="1" applyAlignment="1">
      <alignment horizontal="right" vertical="center"/>
    </xf>
    <xf numFmtId="0" fontId="5" fillId="14" borderId="33" xfId="0" applyFont="1" applyFill="1" applyBorder="1" applyAlignment="1">
      <alignment horizontal="right" vertical="center"/>
    </xf>
    <xf numFmtId="0" fontId="5" fillId="14" borderId="28" xfId="0" applyFont="1" applyFill="1" applyBorder="1" applyAlignment="1">
      <alignment horizontal="right" vertical="center"/>
    </xf>
    <xf numFmtId="0" fontId="5" fillId="14" borderId="24" xfId="0" applyFont="1" applyFill="1" applyBorder="1" applyAlignment="1">
      <alignment horizontal="right" vertical="center"/>
    </xf>
    <xf numFmtId="0" fontId="5" fillId="14" borderId="21" xfId="0" applyFont="1" applyFill="1" applyBorder="1" applyAlignment="1">
      <alignment horizontal="right" vertical="center"/>
    </xf>
    <xf numFmtId="0" fontId="5" fillId="14" borderId="29" xfId="0" applyFont="1" applyFill="1" applyBorder="1" applyAlignment="1">
      <alignment horizontal="right" vertical="center"/>
    </xf>
    <xf numFmtId="0" fontId="5" fillId="14" borderId="30" xfId="0" applyFont="1" applyFill="1" applyBorder="1" applyAlignment="1">
      <alignment horizontal="right" vertical="center"/>
    </xf>
    <xf numFmtId="0" fontId="5" fillId="14" borderId="22" xfId="0" applyFont="1" applyFill="1" applyBorder="1" applyAlignment="1">
      <alignment horizontal="right" vertical="center"/>
    </xf>
    <xf numFmtId="0" fontId="5" fillId="15" borderId="4" xfId="0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right" vertical="center"/>
    </xf>
    <xf numFmtId="0" fontId="5" fillId="12" borderId="24" xfId="0" applyFont="1" applyFill="1" applyBorder="1" applyAlignment="1">
      <alignment horizontal="right" vertical="center"/>
    </xf>
    <xf numFmtId="0" fontId="5" fillId="16" borderId="32" xfId="0" applyFont="1" applyFill="1" applyBorder="1" applyAlignment="1">
      <alignment horizontal="right" vertical="center"/>
    </xf>
    <xf numFmtId="0" fontId="5" fillId="16" borderId="27" xfId="0" applyFont="1" applyFill="1" applyBorder="1" applyAlignment="1">
      <alignment horizontal="right" vertical="center"/>
    </xf>
    <xf numFmtId="0" fontId="5" fillId="16" borderId="21" xfId="0" applyFont="1" applyFill="1" applyBorder="1" applyAlignment="1">
      <alignment horizontal="right" vertical="center"/>
    </xf>
    <xf numFmtId="0" fontId="5" fillId="16" borderId="28" xfId="0" applyFont="1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5" fillId="16" borderId="33" xfId="0" applyFont="1" applyFill="1" applyBorder="1" applyAlignment="1">
      <alignment horizontal="right" vertical="center"/>
    </xf>
    <xf numFmtId="0" fontId="5" fillId="16" borderId="24" xfId="0" applyFont="1" applyFill="1" applyBorder="1" applyAlignment="1">
      <alignment horizontal="right" vertical="center"/>
    </xf>
    <xf numFmtId="0" fontId="0" fillId="17" borderId="20" xfId="0" applyFill="1" applyBorder="1">
      <alignment vertical="center"/>
    </xf>
    <xf numFmtId="0" fontId="0" fillId="17" borderId="21" xfId="0" applyFill="1" applyBorder="1">
      <alignment vertical="center"/>
    </xf>
    <xf numFmtId="0" fontId="0" fillId="18" borderId="27" xfId="0" applyFill="1" applyBorder="1">
      <alignment vertical="center"/>
    </xf>
    <xf numFmtId="0" fontId="0" fillId="18" borderId="28" xfId="0" applyFill="1" applyBorder="1">
      <alignment vertical="center"/>
    </xf>
    <xf numFmtId="0" fontId="0" fillId="19" borderId="20" xfId="0" applyFill="1" applyBorder="1">
      <alignment vertical="center"/>
    </xf>
    <xf numFmtId="0" fontId="0" fillId="19" borderId="21" xfId="0" applyFill="1" applyBorder="1">
      <alignment vertical="center"/>
    </xf>
    <xf numFmtId="0" fontId="0" fillId="19" borderId="4" xfId="0" applyFill="1" applyBorder="1">
      <alignment vertical="center"/>
    </xf>
    <xf numFmtId="0" fontId="0" fillId="18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8" fillId="0" borderId="0" xfId="0" applyFont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>
      <alignment vertical="center"/>
    </xf>
    <xf numFmtId="176" fontId="8" fillId="0" borderId="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19" borderId="4" xfId="0" applyFont="1" applyFill="1" applyBorder="1">
      <alignment vertical="center"/>
    </xf>
    <xf numFmtId="0" fontId="7" fillId="0" borderId="0" xfId="0" applyFont="1">
      <alignment vertical="center"/>
    </xf>
    <xf numFmtId="0" fontId="7" fillId="6" borderId="4" xfId="0" applyFont="1" applyFill="1" applyBorder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8" fillId="9" borderId="4" xfId="0" applyFont="1" applyFill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0" fontId="0" fillId="0" borderId="32" xfId="0" quotePrefix="1" applyNumberFormat="1" applyBorder="1" applyAlignment="1">
      <alignment vertical="center"/>
    </xf>
    <xf numFmtId="0" fontId="0" fillId="0" borderId="21" xfId="0" quotePrefix="1" applyNumberFormat="1" applyBorder="1" applyAlignment="1">
      <alignment vertical="center"/>
    </xf>
    <xf numFmtId="176" fontId="7" fillId="0" borderId="4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>
      <alignment vertical="center"/>
    </xf>
    <xf numFmtId="0" fontId="16" fillId="0" borderId="2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176" fontId="0" fillId="13" borderId="24" xfId="0" applyNumberFormat="1" applyFill="1" applyBorder="1" applyAlignment="1">
      <alignment horizontal="right" vertical="center"/>
    </xf>
    <xf numFmtId="176" fontId="0" fillId="13" borderId="23" xfId="0" applyNumberFormat="1" applyFill="1" applyBorder="1" applyAlignment="1">
      <alignment horizontal="right" vertical="center"/>
    </xf>
    <xf numFmtId="0" fontId="0" fillId="10" borderId="10" xfId="0" applyNumberFormat="1" applyFill="1" applyBorder="1">
      <alignment vertical="center"/>
    </xf>
    <xf numFmtId="0" fontId="5" fillId="14" borderId="20" xfId="0" applyFont="1" applyFill="1" applyBorder="1" applyAlignment="1">
      <alignment horizontal="right" vertical="center"/>
    </xf>
    <xf numFmtId="176" fontId="0" fillId="13" borderId="10" xfId="0" applyNumberFormat="1" applyFill="1" applyBorder="1" applyAlignment="1">
      <alignment horizontal="right" vertical="center"/>
    </xf>
    <xf numFmtId="0" fontId="5" fillId="11" borderId="20" xfId="0" applyFont="1" applyFill="1" applyBorder="1" applyAlignment="1">
      <alignment horizontal="right" vertical="center"/>
    </xf>
    <xf numFmtId="0" fontId="5" fillId="12" borderId="23" xfId="0" applyFont="1" applyFill="1" applyBorder="1" applyAlignment="1">
      <alignment horizontal="right" vertical="center"/>
    </xf>
    <xf numFmtId="0" fontId="5" fillId="12" borderId="21" xfId="0" applyFont="1" applyFill="1" applyBorder="1" applyAlignment="1">
      <alignment horizontal="right" vertical="center"/>
    </xf>
    <xf numFmtId="0" fontId="0" fillId="5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19" borderId="4" xfId="0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1" xfId="0" applyFont="1" applyBorder="1" applyAlignment="1">
      <alignment horizontal="center" vertical="center"/>
    </xf>
    <xf numFmtId="0" fontId="5" fillId="14" borderId="36" xfId="0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right" vertical="center"/>
    </xf>
    <xf numFmtId="0" fontId="5" fillId="12" borderId="37" xfId="0" applyFont="1" applyFill="1" applyBorder="1" applyAlignment="1">
      <alignment horizontal="right" vertical="center"/>
    </xf>
    <xf numFmtId="0" fontId="5" fillId="16" borderId="36" xfId="0" applyFont="1" applyFill="1" applyBorder="1" applyAlignment="1">
      <alignment horizontal="right" vertical="center"/>
    </xf>
    <xf numFmtId="0" fontId="5" fillId="16" borderId="0" xfId="0" applyFont="1" applyFill="1" applyBorder="1" applyAlignment="1">
      <alignment horizontal="right" vertical="center"/>
    </xf>
    <xf numFmtId="0" fontId="5" fillId="16" borderId="38" xfId="0" applyFont="1" applyFill="1" applyBorder="1" applyAlignment="1">
      <alignment horizontal="right" vertical="center"/>
    </xf>
    <xf numFmtId="0" fontId="0" fillId="17" borderId="2" xfId="0" applyFill="1" applyBorder="1">
      <alignment vertical="center"/>
    </xf>
    <xf numFmtId="0" fontId="0" fillId="18" borderId="0" xfId="0" applyFill="1" applyBorder="1">
      <alignment vertical="center"/>
    </xf>
    <xf numFmtId="0" fontId="0" fillId="19" borderId="2" xfId="0" applyFill="1" applyBorder="1">
      <alignment vertical="center"/>
    </xf>
    <xf numFmtId="0" fontId="0" fillId="10" borderId="1" xfId="0" applyNumberFormat="1" applyFont="1" applyFill="1" applyBorder="1">
      <alignment vertical="center"/>
    </xf>
    <xf numFmtId="0" fontId="0" fillId="0" borderId="39" xfId="0" applyBorder="1" applyAlignment="1">
      <alignment horizontal="center" vertical="center"/>
    </xf>
    <xf numFmtId="176" fontId="0" fillId="0" borderId="15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9BFFC8"/>
      <color rgb="FF8FE2FF"/>
      <color rgb="FFFF9F9F"/>
      <color rgb="FFFF8585"/>
      <color rgb="FF47CFFF"/>
      <color rgb="FF61FFA8"/>
      <color rgb="FFF1F7ED"/>
      <color rgb="FFFEF8E8"/>
      <color rgb="FFD1D8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148E-B76B-4804-9A56-80539A2A750B}">
  <dimension ref="A1:B33"/>
  <sheetViews>
    <sheetView workbookViewId="0">
      <selection activeCell="D45" sqref="D45"/>
    </sheetView>
  </sheetViews>
  <sheetFormatPr defaultRowHeight="18.75" x14ac:dyDescent="0.4"/>
  <cols>
    <col min="1" max="2" width="5.25" bestFit="1" customWidth="1"/>
  </cols>
  <sheetData>
    <row r="1" spans="1:2" x14ac:dyDescent="0.4">
      <c r="A1" s="138" t="s">
        <v>98</v>
      </c>
      <c r="B1" s="138" t="s">
        <v>100</v>
      </c>
    </row>
    <row r="2" spans="1:2" x14ac:dyDescent="0.4">
      <c r="A2" s="138" t="s">
        <v>99</v>
      </c>
      <c r="B2" s="139" t="str">
        <f>HYPERLINK("#"&amp;A2&amp;"!A1",A2)</f>
        <v>月データ</v>
      </c>
    </row>
    <row r="3" spans="1:2" x14ac:dyDescent="0.4">
      <c r="A3" s="136">
        <v>1</v>
      </c>
      <c r="B3" s="137">
        <f t="shared" ref="B3:B33" si="0">HYPERLINK("#"&amp;A3&amp;"!A1",A3)</f>
        <v>1</v>
      </c>
    </row>
    <row r="4" spans="1:2" x14ac:dyDescent="0.4">
      <c r="A4" s="136">
        <v>2</v>
      </c>
      <c r="B4" s="137">
        <f t="shared" si="0"/>
        <v>2</v>
      </c>
    </row>
    <row r="5" spans="1:2" x14ac:dyDescent="0.4">
      <c r="A5" s="136">
        <v>3</v>
      </c>
      <c r="B5" s="137">
        <f t="shared" si="0"/>
        <v>3</v>
      </c>
    </row>
    <row r="6" spans="1:2" x14ac:dyDescent="0.4">
      <c r="A6" s="136">
        <v>4</v>
      </c>
      <c r="B6" s="137">
        <f t="shared" si="0"/>
        <v>4</v>
      </c>
    </row>
    <row r="7" spans="1:2" x14ac:dyDescent="0.4">
      <c r="A7" s="136">
        <v>5</v>
      </c>
      <c r="B7" s="137">
        <f t="shared" si="0"/>
        <v>5</v>
      </c>
    </row>
    <row r="8" spans="1:2" x14ac:dyDescent="0.4">
      <c r="A8" s="136">
        <v>6</v>
      </c>
      <c r="B8" s="137">
        <f t="shared" si="0"/>
        <v>6</v>
      </c>
    </row>
    <row r="9" spans="1:2" x14ac:dyDescent="0.4">
      <c r="A9" s="136">
        <v>7</v>
      </c>
      <c r="B9" s="137">
        <f t="shared" si="0"/>
        <v>7</v>
      </c>
    </row>
    <row r="10" spans="1:2" x14ac:dyDescent="0.4">
      <c r="A10" s="136">
        <v>8</v>
      </c>
      <c r="B10" s="137">
        <f t="shared" si="0"/>
        <v>8</v>
      </c>
    </row>
    <row r="11" spans="1:2" x14ac:dyDescent="0.4">
      <c r="A11" s="136">
        <v>9</v>
      </c>
      <c r="B11" s="137">
        <f t="shared" si="0"/>
        <v>9</v>
      </c>
    </row>
    <row r="12" spans="1:2" x14ac:dyDescent="0.4">
      <c r="A12" s="136">
        <v>10</v>
      </c>
      <c r="B12" s="137">
        <f t="shared" si="0"/>
        <v>10</v>
      </c>
    </row>
    <row r="13" spans="1:2" x14ac:dyDescent="0.4">
      <c r="A13" s="136">
        <v>11</v>
      </c>
      <c r="B13" s="137">
        <f t="shared" si="0"/>
        <v>11</v>
      </c>
    </row>
    <row r="14" spans="1:2" x14ac:dyDescent="0.4">
      <c r="A14" s="136">
        <v>12</v>
      </c>
      <c r="B14" s="137">
        <f t="shared" si="0"/>
        <v>12</v>
      </c>
    </row>
    <row r="15" spans="1:2" x14ac:dyDescent="0.4">
      <c r="A15" s="136">
        <v>13</v>
      </c>
      <c r="B15" s="137">
        <f t="shared" si="0"/>
        <v>13</v>
      </c>
    </row>
    <row r="16" spans="1:2" x14ac:dyDescent="0.4">
      <c r="A16" s="136">
        <v>14</v>
      </c>
      <c r="B16" s="137">
        <f t="shared" si="0"/>
        <v>14</v>
      </c>
    </row>
    <row r="17" spans="1:2" x14ac:dyDescent="0.4">
      <c r="A17" s="136">
        <v>15</v>
      </c>
      <c r="B17" s="137">
        <f t="shared" si="0"/>
        <v>15</v>
      </c>
    </row>
    <row r="18" spans="1:2" x14ac:dyDescent="0.4">
      <c r="A18" s="136">
        <v>16</v>
      </c>
      <c r="B18" s="137">
        <f t="shared" si="0"/>
        <v>16</v>
      </c>
    </row>
    <row r="19" spans="1:2" x14ac:dyDescent="0.4">
      <c r="A19" s="136">
        <v>17</v>
      </c>
      <c r="B19" s="137">
        <f t="shared" si="0"/>
        <v>17</v>
      </c>
    </row>
    <row r="20" spans="1:2" x14ac:dyDescent="0.4">
      <c r="A20" s="136">
        <v>18</v>
      </c>
      <c r="B20" s="137">
        <f t="shared" si="0"/>
        <v>18</v>
      </c>
    </row>
    <row r="21" spans="1:2" x14ac:dyDescent="0.4">
      <c r="A21" s="136">
        <v>19</v>
      </c>
      <c r="B21" s="137">
        <f t="shared" si="0"/>
        <v>19</v>
      </c>
    </row>
    <row r="22" spans="1:2" x14ac:dyDescent="0.4">
      <c r="A22" s="136">
        <v>20</v>
      </c>
      <c r="B22" s="137">
        <f t="shared" si="0"/>
        <v>20</v>
      </c>
    </row>
    <row r="23" spans="1:2" x14ac:dyDescent="0.4">
      <c r="A23" s="136">
        <v>21</v>
      </c>
      <c r="B23" s="137">
        <f t="shared" si="0"/>
        <v>21</v>
      </c>
    </row>
    <row r="24" spans="1:2" x14ac:dyDescent="0.4">
      <c r="A24" s="136">
        <v>22</v>
      </c>
      <c r="B24" s="137">
        <f t="shared" si="0"/>
        <v>22</v>
      </c>
    </row>
    <row r="25" spans="1:2" x14ac:dyDescent="0.4">
      <c r="A25" s="136">
        <v>23</v>
      </c>
      <c r="B25" s="137">
        <f t="shared" si="0"/>
        <v>23</v>
      </c>
    </row>
    <row r="26" spans="1:2" x14ac:dyDescent="0.4">
      <c r="A26" s="136">
        <v>24</v>
      </c>
      <c r="B26" s="137">
        <f t="shared" si="0"/>
        <v>24</v>
      </c>
    </row>
    <row r="27" spans="1:2" x14ac:dyDescent="0.4">
      <c r="A27" s="136">
        <v>25</v>
      </c>
      <c r="B27" s="137">
        <f t="shared" si="0"/>
        <v>25</v>
      </c>
    </row>
    <row r="28" spans="1:2" x14ac:dyDescent="0.4">
      <c r="A28" s="136">
        <v>26</v>
      </c>
      <c r="B28" s="137">
        <f t="shared" si="0"/>
        <v>26</v>
      </c>
    </row>
    <row r="29" spans="1:2" x14ac:dyDescent="0.4">
      <c r="A29" s="136">
        <v>27</v>
      </c>
      <c r="B29" s="137">
        <f t="shared" si="0"/>
        <v>27</v>
      </c>
    </row>
    <row r="30" spans="1:2" x14ac:dyDescent="0.4">
      <c r="A30" s="136">
        <v>28</v>
      </c>
      <c r="B30" s="137">
        <f t="shared" si="0"/>
        <v>28</v>
      </c>
    </row>
    <row r="31" spans="1:2" x14ac:dyDescent="0.4">
      <c r="A31" s="136">
        <v>29</v>
      </c>
      <c r="B31" s="137">
        <f t="shared" si="0"/>
        <v>29</v>
      </c>
    </row>
    <row r="32" spans="1:2" x14ac:dyDescent="0.4">
      <c r="A32" s="136">
        <v>30</v>
      </c>
      <c r="B32" s="137">
        <f t="shared" si="0"/>
        <v>30</v>
      </c>
    </row>
    <row r="33" spans="1:2" x14ac:dyDescent="0.4">
      <c r="A33" s="136">
        <v>31</v>
      </c>
      <c r="B33" s="137">
        <f t="shared" si="0"/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53B0-A8AC-4685-80B0-9A21E88B0775}">
  <dimension ref="A1:AK36"/>
  <sheetViews>
    <sheetView zoomScaleNormal="100" workbookViewId="0">
      <pane xSplit="2" ySplit="1" topLeftCell="C23" activePane="bottomRight" state="frozen"/>
      <selection activeCell="D45" sqref="D45"/>
      <selection pane="topRight" activeCell="D45" sqref="D45"/>
      <selection pane="bottomLeft" activeCell="D45" sqref="D45"/>
      <selection pane="bottomRight"/>
    </sheetView>
  </sheetViews>
  <sheetFormatPr defaultRowHeight="18.75" x14ac:dyDescent="0.4"/>
  <cols>
    <col min="1" max="1" width="10.625" customWidth="1"/>
    <col min="2" max="2" width="3.375" customWidth="1"/>
    <col min="3" max="4" width="9.625" customWidth="1"/>
    <col min="5" max="5" width="10.625" customWidth="1"/>
    <col min="6" max="34" width="4" customWidth="1"/>
    <col min="35" max="35" width="2.75" customWidth="1"/>
    <col min="36" max="37" width="5.25" bestFit="1" customWidth="1"/>
  </cols>
  <sheetData>
    <row r="1" spans="1:37" ht="15" customHeight="1" thickBot="1" x14ac:dyDescent="0.45">
      <c r="A1" s="83" t="s">
        <v>83</v>
      </c>
      <c r="B1" s="91" t="s">
        <v>84</v>
      </c>
      <c r="C1" s="4" t="s">
        <v>79</v>
      </c>
      <c r="D1" s="95" t="s">
        <v>63</v>
      </c>
      <c r="E1" s="4" t="s">
        <v>80</v>
      </c>
      <c r="F1" s="176" t="s">
        <v>85</v>
      </c>
      <c r="G1" s="173" t="s">
        <v>86</v>
      </c>
      <c r="H1" s="173" t="s">
        <v>111</v>
      </c>
      <c r="I1" s="173" t="s">
        <v>112</v>
      </c>
      <c r="J1" s="173" t="s">
        <v>105</v>
      </c>
      <c r="K1" s="180" t="s">
        <v>116</v>
      </c>
      <c r="L1" s="180" t="s">
        <v>89</v>
      </c>
      <c r="M1" s="180" t="s">
        <v>90</v>
      </c>
      <c r="N1" s="180" t="s">
        <v>11</v>
      </c>
      <c r="O1" s="180" t="s">
        <v>65</v>
      </c>
      <c r="P1" s="181" t="s">
        <v>78</v>
      </c>
      <c r="Q1" s="182" t="s">
        <v>87</v>
      </c>
      <c r="R1" s="182" t="s">
        <v>88</v>
      </c>
      <c r="S1" s="182" t="s">
        <v>22</v>
      </c>
      <c r="T1" s="182" t="s">
        <v>55</v>
      </c>
      <c r="U1" s="182" t="s">
        <v>56</v>
      </c>
      <c r="V1" s="182" t="s">
        <v>27</v>
      </c>
      <c r="W1" s="182" t="s">
        <v>57</v>
      </c>
      <c r="X1" s="182" t="s">
        <v>28</v>
      </c>
      <c r="Y1" s="182" t="s">
        <v>29</v>
      </c>
      <c r="Z1" s="182" t="s">
        <v>58</v>
      </c>
      <c r="AA1" s="178" t="s">
        <v>20</v>
      </c>
      <c r="AB1" s="179" t="s">
        <v>21</v>
      </c>
      <c r="AC1" s="174" t="s">
        <v>113</v>
      </c>
      <c r="AD1" s="15">
        <v>30</v>
      </c>
      <c r="AE1" s="175" t="s">
        <v>94</v>
      </c>
      <c r="AF1" s="173" t="s">
        <v>95</v>
      </c>
      <c r="AG1" s="176" t="s">
        <v>96</v>
      </c>
      <c r="AH1" s="177" t="s">
        <v>97</v>
      </c>
      <c r="AJ1" s="138" t="s">
        <v>98</v>
      </c>
      <c r="AK1" s="138" t="s">
        <v>100</v>
      </c>
    </row>
    <row r="2" spans="1:37" ht="15" customHeight="1" x14ac:dyDescent="0.4">
      <c r="A2" s="88">
        <f>DATE(A36,B36,1)</f>
        <v>45839</v>
      </c>
      <c r="B2" s="92" t="str">
        <f>TEXT(A2,"aaa")</f>
        <v>火</v>
      </c>
      <c r="C2" s="102">
        <f>'1'!R51</f>
        <v>0</v>
      </c>
      <c r="D2" s="103"/>
      <c r="E2" s="184">
        <f>SUM(C2,D2)</f>
        <v>0</v>
      </c>
      <c r="F2" s="107">
        <f>'1'!R43</f>
        <v>0</v>
      </c>
      <c r="G2" s="106">
        <f>'1'!R44</f>
        <v>0</v>
      </c>
      <c r="H2" s="107">
        <f>'1'!Y5</f>
        <v>0</v>
      </c>
      <c r="I2" s="106">
        <f>SUM('1'!Y7,'1'!Y9,'1'!Y11,'1'!Y13,'1'!Y15,'1'!Y17,'1'!Y19)</f>
        <v>0</v>
      </c>
      <c r="J2" s="107">
        <f>'1'!W7</f>
        <v>0</v>
      </c>
      <c r="K2" s="106">
        <f>'1'!W9</f>
        <v>0</v>
      </c>
      <c r="L2" s="107">
        <f>'1'!W11</f>
        <v>0</v>
      </c>
      <c r="M2" s="106">
        <f>'1'!W13</f>
        <v>0</v>
      </c>
      <c r="N2" s="107">
        <f>'1'!W15</f>
        <v>0</v>
      </c>
      <c r="O2" s="107">
        <f>'1'!W17</f>
        <v>0</v>
      </c>
      <c r="P2" s="108">
        <f>'1'!Z5</f>
        <v>0</v>
      </c>
      <c r="Q2" s="106">
        <f>'1'!Z7</f>
        <v>0</v>
      </c>
      <c r="R2" s="107">
        <f>'1'!Z9</f>
        <v>0</v>
      </c>
      <c r="S2" s="106">
        <f>'1'!Z11</f>
        <v>0</v>
      </c>
      <c r="T2" s="107">
        <f>'1'!Z13</f>
        <v>0</v>
      </c>
      <c r="U2" s="106">
        <f>'1'!Z15</f>
        <v>0</v>
      </c>
      <c r="V2" s="107">
        <f>'1'!Z17</f>
        <v>0</v>
      </c>
      <c r="W2" s="106">
        <f>'1'!Z19</f>
        <v>0</v>
      </c>
      <c r="X2" s="107">
        <f>'1'!Z21</f>
        <v>0</v>
      </c>
      <c r="Y2" s="106">
        <f>'1'!Z23</f>
        <v>0</v>
      </c>
      <c r="Z2" s="109">
        <f>'1'!Z25</f>
        <v>0</v>
      </c>
      <c r="AA2" s="100">
        <f>'1'!AA5</f>
        <v>0</v>
      </c>
      <c r="AB2" s="117">
        <f>'1'!AA7</f>
        <v>0</v>
      </c>
      <c r="AC2" s="119">
        <f>SUM('1'!X5,'1'!X7)</f>
        <v>0</v>
      </c>
      <c r="AD2" s="120">
        <f>'1'!X9</f>
        <v>0</v>
      </c>
      <c r="AE2" s="125">
        <f>SUM('1'!X11,'1'!X13,'1'!X15,'1'!X17,'1'!X19,'1'!X21)</f>
        <v>0</v>
      </c>
      <c r="AF2" s="127">
        <f>'1'!AB4</f>
        <v>0</v>
      </c>
      <c r="AG2" s="129">
        <f>'1'!AB6</f>
        <v>0</v>
      </c>
      <c r="AH2" s="131">
        <f>'1'!AB8</f>
        <v>0</v>
      </c>
      <c r="AJ2" s="138" t="s">
        <v>99</v>
      </c>
      <c r="AK2" s="139" t="str">
        <f>HYPERLINK("#"&amp;AJ2&amp;"!A1",AJ2)</f>
        <v>月データ</v>
      </c>
    </row>
    <row r="3" spans="1:37" ht="15" customHeight="1" x14ac:dyDescent="0.4">
      <c r="A3" s="89">
        <f>A2+1</f>
        <v>45840</v>
      </c>
      <c r="B3" s="93" t="str">
        <f t="shared" ref="B3:B32" si="0">TEXT(A3,"aaa")</f>
        <v>水</v>
      </c>
      <c r="C3" s="102">
        <f>'2'!R51</f>
        <v>0</v>
      </c>
      <c r="D3" s="104"/>
      <c r="E3" s="183">
        <f>SUM(C3,D3)</f>
        <v>0</v>
      </c>
      <c r="F3" s="186">
        <f>'2'!R43</f>
        <v>0</v>
      </c>
      <c r="G3" s="110">
        <f>'2'!R44</f>
        <v>0</v>
      </c>
      <c r="H3" s="112">
        <f>'2'!Y5</f>
        <v>0</v>
      </c>
      <c r="I3" s="110">
        <f>SUM('2'!Y7,'2'!Y9,'2'!Y11,'2'!Y13,'2'!Y15,'2'!Y17,'2'!Y19)</f>
        <v>0</v>
      </c>
      <c r="J3" s="112">
        <f>'2'!W7</f>
        <v>0</v>
      </c>
      <c r="K3" s="110">
        <f>'2'!W9</f>
        <v>0</v>
      </c>
      <c r="L3" s="112">
        <f>'2'!W11</f>
        <v>0</v>
      </c>
      <c r="M3" s="110">
        <f>'2'!W13</f>
        <v>0</v>
      </c>
      <c r="N3" s="112">
        <f>'2'!W15</f>
        <v>0</v>
      </c>
      <c r="O3" s="112">
        <f>'2'!W17</f>
        <v>0</v>
      </c>
      <c r="P3" s="113">
        <f>'2'!Z5</f>
        <v>0</v>
      </c>
      <c r="Q3" s="110">
        <f>'2'!Z7</f>
        <v>0</v>
      </c>
      <c r="R3" s="112">
        <f>'2'!Z9</f>
        <v>0</v>
      </c>
      <c r="S3" s="110">
        <f>'2'!Z11</f>
        <v>0</v>
      </c>
      <c r="T3" s="112">
        <f>'2'!Z13</f>
        <v>0</v>
      </c>
      <c r="U3" s="110">
        <f>'2'!Z15</f>
        <v>0</v>
      </c>
      <c r="V3" s="112">
        <f>'2'!Z17</f>
        <v>0</v>
      </c>
      <c r="W3" s="110">
        <f>'2'!Z19</f>
        <v>0</v>
      </c>
      <c r="X3" s="112">
        <f>'2'!Z21</f>
        <v>0</v>
      </c>
      <c r="Y3" s="110">
        <f>'2'!Z23</f>
        <v>0</v>
      </c>
      <c r="Z3" s="111">
        <f>'2'!Z25</f>
        <v>0</v>
      </c>
      <c r="AA3" s="101">
        <f>'2'!AA5</f>
        <v>0</v>
      </c>
      <c r="AB3" s="118">
        <f>'2'!AA7</f>
        <v>0</v>
      </c>
      <c r="AC3" s="121">
        <f>SUM('2'!X5,'2'!X7)</f>
        <v>0</v>
      </c>
      <c r="AD3" s="122">
        <f>'2'!X9</f>
        <v>0</v>
      </c>
      <c r="AE3" s="126">
        <f>SUM('2'!X11,'2'!X13,'2'!X15,'2'!X17,'2'!X19,'2'!X21)</f>
        <v>0</v>
      </c>
      <c r="AF3" s="128">
        <f>'2'!AB4</f>
        <v>0</v>
      </c>
      <c r="AG3" s="130">
        <f>'2'!AB6</f>
        <v>0</v>
      </c>
      <c r="AH3" s="132">
        <f>'2'!AB8</f>
        <v>0</v>
      </c>
      <c r="AJ3" s="136">
        <v>1</v>
      </c>
      <c r="AK3" s="137">
        <f t="shared" ref="AK3:AK33" si="1">HYPERLINK("#"&amp;AJ3&amp;"!A1",AJ3)</f>
        <v>1</v>
      </c>
    </row>
    <row r="4" spans="1:37" ht="15" customHeight="1" x14ac:dyDescent="0.4">
      <c r="A4" s="89">
        <f t="shared" ref="A4:A32" si="2">A3+1</f>
        <v>45841</v>
      </c>
      <c r="B4" s="93" t="str">
        <f t="shared" si="0"/>
        <v>木</v>
      </c>
      <c r="C4" s="102">
        <f>'3'!R51</f>
        <v>0</v>
      </c>
      <c r="D4" s="104"/>
      <c r="E4" s="184">
        <f t="shared" ref="E4:E32" si="3">SUM(C4,D4)</f>
        <v>0</v>
      </c>
      <c r="F4" s="186">
        <f>'3'!R43</f>
        <v>0</v>
      </c>
      <c r="G4" s="110">
        <f>'3'!R44</f>
        <v>0</v>
      </c>
      <c r="H4" s="112">
        <f>'3'!Y5</f>
        <v>0</v>
      </c>
      <c r="I4" s="110">
        <f>SUM('3'!Y7,'3'!Y9,'3'!Y11,'3'!Y13,'3'!Y15,'3'!Y17,'3'!Y19)</f>
        <v>0</v>
      </c>
      <c r="J4" s="112">
        <f>'3'!W7</f>
        <v>0</v>
      </c>
      <c r="K4" s="112">
        <f>'3'!W9</f>
        <v>0</v>
      </c>
      <c r="L4" s="112">
        <f>'3'!W11</f>
        <v>0</v>
      </c>
      <c r="M4" s="112">
        <f>'3'!W13</f>
        <v>0</v>
      </c>
      <c r="N4" s="112">
        <f>'3'!W15</f>
        <v>0</v>
      </c>
      <c r="O4" s="112">
        <f>'3'!W17</f>
        <v>0</v>
      </c>
      <c r="P4" s="112">
        <f>'3'!Z5</f>
        <v>0</v>
      </c>
      <c r="Q4" s="112">
        <f>'3'!Z7</f>
        <v>0</v>
      </c>
      <c r="R4" s="112">
        <f>'3'!Z9</f>
        <v>0</v>
      </c>
      <c r="S4" s="112">
        <f>'3'!Z11</f>
        <v>0</v>
      </c>
      <c r="T4" s="112">
        <f>'3'!Z13</f>
        <v>0</v>
      </c>
      <c r="U4" s="112">
        <f>'3'!Z15</f>
        <v>0</v>
      </c>
      <c r="V4" s="112">
        <f>'3'!Z17</f>
        <v>0</v>
      </c>
      <c r="W4" s="112">
        <f>'3'!Z19</f>
        <v>0</v>
      </c>
      <c r="X4" s="112">
        <f>'3'!Z21</f>
        <v>0</v>
      </c>
      <c r="Y4" s="112">
        <f>'3'!Z23</f>
        <v>0</v>
      </c>
      <c r="Z4" s="112">
        <f>'3'!Z25</f>
        <v>0</v>
      </c>
      <c r="AA4" s="101">
        <f>'3'!AA5</f>
        <v>0</v>
      </c>
      <c r="AB4" s="118">
        <f>'3'!AA7</f>
        <v>0</v>
      </c>
      <c r="AC4" s="121">
        <f>SUM('3'!X5,'3'!X7)</f>
        <v>0</v>
      </c>
      <c r="AD4" s="122">
        <f>'3'!X9</f>
        <v>0</v>
      </c>
      <c r="AE4" s="126">
        <f>SUM('3'!X11,'3'!X13,'3'!X15,'3'!X17,'3'!X19,'3'!X21)</f>
        <v>0</v>
      </c>
      <c r="AF4" s="128">
        <f>'3'!AB4</f>
        <v>0</v>
      </c>
      <c r="AG4" s="130">
        <f>'3'!AB6</f>
        <v>0</v>
      </c>
      <c r="AH4" s="132">
        <f>'3'!AB8</f>
        <v>0</v>
      </c>
      <c r="AJ4" s="136">
        <v>2</v>
      </c>
      <c r="AK4" s="137">
        <f t="shared" si="1"/>
        <v>2</v>
      </c>
    </row>
    <row r="5" spans="1:37" ht="15" customHeight="1" x14ac:dyDescent="0.4">
      <c r="A5" s="89">
        <f t="shared" si="2"/>
        <v>45842</v>
      </c>
      <c r="B5" s="93" t="str">
        <f t="shared" si="0"/>
        <v>金</v>
      </c>
      <c r="C5" s="102">
        <f>'4'!R51</f>
        <v>0</v>
      </c>
      <c r="D5" s="104"/>
      <c r="E5" s="183">
        <f t="shared" si="3"/>
        <v>0</v>
      </c>
      <c r="F5" s="112">
        <f>'4'!R43</f>
        <v>0</v>
      </c>
      <c r="G5" s="110">
        <f>'4'!R44</f>
        <v>0</v>
      </c>
      <c r="H5" s="112">
        <f>'4'!Y5</f>
        <v>0</v>
      </c>
      <c r="I5" s="110">
        <f>SUM('4'!Y7,'4'!Y9,'4'!Y11,'4'!Y13,'4'!Y15,'4'!Y17,'4'!Y19)</f>
        <v>0</v>
      </c>
      <c r="J5" s="112">
        <f>'4'!W7</f>
        <v>0</v>
      </c>
      <c r="K5" s="112">
        <f>'4'!W9</f>
        <v>0</v>
      </c>
      <c r="L5" s="112">
        <f>'4'!W11</f>
        <v>0</v>
      </c>
      <c r="M5" s="112">
        <f>'4'!W13</f>
        <v>0</v>
      </c>
      <c r="N5" s="112">
        <f>'4'!W15</f>
        <v>0</v>
      </c>
      <c r="O5" s="112">
        <f>'4'!W17</f>
        <v>0</v>
      </c>
      <c r="P5" s="112">
        <f>'4'!Z5</f>
        <v>0</v>
      </c>
      <c r="Q5" s="112">
        <f>'4'!Z7</f>
        <v>0</v>
      </c>
      <c r="R5" s="112">
        <f>'4'!Z9</f>
        <v>0</v>
      </c>
      <c r="S5" s="112">
        <f>'4'!Z11</f>
        <v>0</v>
      </c>
      <c r="T5" s="112">
        <f>'4'!Z13</f>
        <v>0</v>
      </c>
      <c r="U5" s="112">
        <f>'4'!Z15</f>
        <v>0</v>
      </c>
      <c r="V5" s="112">
        <f>'4'!Z17</f>
        <v>0</v>
      </c>
      <c r="W5" s="112">
        <f>'4'!Z19</f>
        <v>0</v>
      </c>
      <c r="X5" s="112">
        <f>'4'!Z21</f>
        <v>0</v>
      </c>
      <c r="Y5" s="112">
        <f>'4'!Z23</f>
        <v>0</v>
      </c>
      <c r="Z5" s="112">
        <f>'4'!Z25</f>
        <v>0</v>
      </c>
      <c r="AA5" s="101">
        <f>'4'!AA5</f>
        <v>0</v>
      </c>
      <c r="AB5" s="118">
        <f>'4'!AA7</f>
        <v>0</v>
      </c>
      <c r="AC5" s="121">
        <f>SUM('4'!X5,'4'!X7)</f>
        <v>0</v>
      </c>
      <c r="AD5" s="122">
        <f>'4'!X9</f>
        <v>0</v>
      </c>
      <c r="AE5" s="126">
        <f>SUM('4'!X11,'4'!X13,'4'!X15,'4'!X17,'4'!X19,'4'!X21)</f>
        <v>0</v>
      </c>
      <c r="AF5" s="128">
        <f>'4'!AB4</f>
        <v>0</v>
      </c>
      <c r="AG5" s="130">
        <f>'4'!AB6</f>
        <v>0</v>
      </c>
      <c r="AH5" s="132">
        <f>'4'!AB8</f>
        <v>0</v>
      </c>
      <c r="AJ5" s="136">
        <v>3</v>
      </c>
      <c r="AK5" s="137">
        <f t="shared" si="1"/>
        <v>3</v>
      </c>
    </row>
    <row r="6" spans="1:37" ht="15" customHeight="1" x14ac:dyDescent="0.4">
      <c r="A6" s="89">
        <f t="shared" si="2"/>
        <v>45843</v>
      </c>
      <c r="B6" s="93" t="str">
        <f t="shared" si="0"/>
        <v>土</v>
      </c>
      <c r="C6" s="102">
        <f>'5'!R51</f>
        <v>0</v>
      </c>
      <c r="D6" s="104"/>
      <c r="E6" s="184">
        <f t="shared" si="3"/>
        <v>0</v>
      </c>
      <c r="F6" s="112">
        <f>'5'!R43</f>
        <v>0</v>
      </c>
      <c r="G6" s="110">
        <f>'5'!R44</f>
        <v>0</v>
      </c>
      <c r="H6" s="112">
        <f>'5'!Y5</f>
        <v>0</v>
      </c>
      <c r="I6" s="110">
        <f>SUM('5'!Y7,'5'!Y9,'5'!Y11,'5'!Y13,'5'!Y15,'5'!Y17,'5'!Y19)</f>
        <v>0</v>
      </c>
      <c r="J6" s="112">
        <f>'5'!W7</f>
        <v>0</v>
      </c>
      <c r="K6" s="112">
        <f>'5'!W9</f>
        <v>0</v>
      </c>
      <c r="L6" s="112">
        <f>'5'!W11</f>
        <v>0</v>
      </c>
      <c r="M6" s="112">
        <f>'5'!W13</f>
        <v>0</v>
      </c>
      <c r="N6" s="112">
        <f>'5'!W15</f>
        <v>0</v>
      </c>
      <c r="O6" s="112">
        <f>'5'!W17</f>
        <v>0</v>
      </c>
      <c r="P6" s="112">
        <f>'5'!Z5</f>
        <v>0</v>
      </c>
      <c r="Q6" s="112">
        <f>'5'!Z7</f>
        <v>0</v>
      </c>
      <c r="R6" s="112">
        <f>'5'!Z9</f>
        <v>0</v>
      </c>
      <c r="S6" s="112">
        <f>'5'!Z11</f>
        <v>0</v>
      </c>
      <c r="T6" s="112">
        <f>'5'!Z13</f>
        <v>0</v>
      </c>
      <c r="U6" s="112">
        <f>'5'!Z15</f>
        <v>0</v>
      </c>
      <c r="V6" s="112">
        <f>'5'!Z17</f>
        <v>0</v>
      </c>
      <c r="W6" s="112">
        <f>'5'!Z19</f>
        <v>0</v>
      </c>
      <c r="X6" s="112">
        <f>'5'!Z21</f>
        <v>0</v>
      </c>
      <c r="Y6" s="112">
        <f>'5'!Z23</f>
        <v>0</v>
      </c>
      <c r="Z6" s="112">
        <f>'5'!Z25</f>
        <v>0</v>
      </c>
      <c r="AA6" s="101">
        <f>'5'!AA5</f>
        <v>0</v>
      </c>
      <c r="AB6" s="118">
        <f>'5'!AA7</f>
        <v>0</v>
      </c>
      <c r="AC6" s="121">
        <f>SUM('5'!X5,'5'!X7)</f>
        <v>0</v>
      </c>
      <c r="AD6" s="122">
        <f>'5'!X9</f>
        <v>0</v>
      </c>
      <c r="AE6" s="126">
        <f>SUM('5'!X11,'5'!X13,'5'!X15,'5'!X17,'5'!X19,'5'!X21)</f>
        <v>0</v>
      </c>
      <c r="AF6" s="128">
        <f>'5'!AB4</f>
        <v>0</v>
      </c>
      <c r="AG6" s="130">
        <f>'5'!AB6</f>
        <v>0</v>
      </c>
      <c r="AH6" s="132">
        <f>'5'!AB8</f>
        <v>0</v>
      </c>
      <c r="AJ6" s="136">
        <v>4</v>
      </c>
      <c r="AK6" s="137">
        <f t="shared" si="1"/>
        <v>4</v>
      </c>
    </row>
    <row r="7" spans="1:37" ht="15" customHeight="1" x14ac:dyDescent="0.4">
      <c r="A7" s="89">
        <f t="shared" si="2"/>
        <v>45844</v>
      </c>
      <c r="B7" s="93" t="str">
        <f t="shared" si="0"/>
        <v>日</v>
      </c>
      <c r="C7" s="102">
        <f>'6'!R51</f>
        <v>0</v>
      </c>
      <c r="D7" s="104"/>
      <c r="E7" s="183">
        <f t="shared" si="3"/>
        <v>0</v>
      </c>
      <c r="F7" s="112">
        <f>'6'!R43</f>
        <v>0</v>
      </c>
      <c r="G7" s="110">
        <f>'6'!R44</f>
        <v>0</v>
      </c>
      <c r="H7" s="112">
        <f>'6'!Y5</f>
        <v>0</v>
      </c>
      <c r="I7" s="110">
        <f>SUM('6'!Y7,'6'!Y9,'6'!Y11,'6'!Y13,'6'!Y15,'6'!Y17,'6'!Y19)</f>
        <v>0</v>
      </c>
      <c r="J7" s="112">
        <f>'6'!W7</f>
        <v>0</v>
      </c>
      <c r="K7" s="112">
        <f>'6'!W9</f>
        <v>0</v>
      </c>
      <c r="L7" s="112">
        <f>'6'!W11</f>
        <v>0</v>
      </c>
      <c r="M7" s="112">
        <f>'6'!W13</f>
        <v>0</v>
      </c>
      <c r="N7" s="112">
        <f>'6'!W15</f>
        <v>0</v>
      </c>
      <c r="O7" s="112">
        <f>'6'!W17</f>
        <v>0</v>
      </c>
      <c r="P7" s="112">
        <f>'6'!Z5</f>
        <v>0</v>
      </c>
      <c r="Q7" s="112">
        <f>'6'!Z7</f>
        <v>0</v>
      </c>
      <c r="R7" s="112">
        <f>'6'!Z9</f>
        <v>0</v>
      </c>
      <c r="S7" s="112">
        <f>'6'!Z11</f>
        <v>0</v>
      </c>
      <c r="T7" s="112">
        <f>'6'!Z13</f>
        <v>0</v>
      </c>
      <c r="U7" s="112">
        <f>'6'!Z15</f>
        <v>0</v>
      </c>
      <c r="V7" s="112">
        <f>'6'!Z17</f>
        <v>0</v>
      </c>
      <c r="W7" s="112">
        <f>'6'!Z19</f>
        <v>0</v>
      </c>
      <c r="X7" s="112">
        <f>'6'!Z21</f>
        <v>0</v>
      </c>
      <c r="Y7" s="112">
        <f>'6'!Z23</f>
        <v>0</v>
      </c>
      <c r="Z7" s="112">
        <f>'6'!Z25</f>
        <v>0</v>
      </c>
      <c r="AA7" s="101">
        <f>'6'!AA5</f>
        <v>0</v>
      </c>
      <c r="AB7" s="118">
        <f>'6'!AA7</f>
        <v>0</v>
      </c>
      <c r="AC7" s="121">
        <f>SUM('6'!X5,'6'!X7)</f>
        <v>0</v>
      </c>
      <c r="AD7" s="122">
        <f>'6'!X9</f>
        <v>0</v>
      </c>
      <c r="AE7" s="126">
        <f>SUM('6'!X11,'6'!X13,'6'!X15,'6'!X17,'6'!X19,'6'!X21)</f>
        <v>0</v>
      </c>
      <c r="AF7" s="128">
        <f>'6'!AB4</f>
        <v>0</v>
      </c>
      <c r="AG7" s="130">
        <f>'6'!AB6</f>
        <v>0</v>
      </c>
      <c r="AH7" s="132">
        <f>'6'!AB8</f>
        <v>0</v>
      </c>
      <c r="AJ7" s="136">
        <v>5</v>
      </c>
      <c r="AK7" s="137">
        <f t="shared" si="1"/>
        <v>5</v>
      </c>
    </row>
    <row r="8" spans="1:37" ht="15" customHeight="1" x14ac:dyDescent="0.4">
      <c r="A8" s="89">
        <f t="shared" si="2"/>
        <v>45845</v>
      </c>
      <c r="B8" s="213" t="str">
        <f t="shared" si="0"/>
        <v>月</v>
      </c>
      <c r="C8" s="102">
        <f>'7'!R51</f>
        <v>0</v>
      </c>
      <c r="D8" s="104"/>
      <c r="E8" s="184">
        <f t="shared" si="3"/>
        <v>0</v>
      </c>
      <c r="F8" s="112">
        <f>'7'!R43</f>
        <v>0</v>
      </c>
      <c r="G8" s="110">
        <f>'7'!R44</f>
        <v>0</v>
      </c>
      <c r="H8" s="112">
        <f>'7'!Y5</f>
        <v>0</v>
      </c>
      <c r="I8" s="110">
        <f>SUM('7'!Y7,'7'!Y9,'7'!Y11,'7'!Y13,'7'!Y15,'7'!Y17,'7'!Y19)</f>
        <v>0</v>
      </c>
      <c r="J8" s="112">
        <f>'7'!W7</f>
        <v>0</v>
      </c>
      <c r="K8" s="112">
        <f>'7'!W9</f>
        <v>0</v>
      </c>
      <c r="L8" s="112">
        <f>'7'!W11</f>
        <v>0</v>
      </c>
      <c r="M8" s="112">
        <f>'7'!W13</f>
        <v>0</v>
      </c>
      <c r="N8" s="112">
        <f>'7'!W15</f>
        <v>0</v>
      </c>
      <c r="O8" s="112">
        <f>'7'!W17</f>
        <v>0</v>
      </c>
      <c r="P8" s="112">
        <f>'7'!Z5</f>
        <v>0</v>
      </c>
      <c r="Q8" s="112">
        <f>'7'!Z7</f>
        <v>0</v>
      </c>
      <c r="R8" s="112">
        <f>'7'!Z9</f>
        <v>0</v>
      </c>
      <c r="S8" s="112">
        <f>'7'!Z11</f>
        <v>0</v>
      </c>
      <c r="T8" s="112">
        <f>'7'!Z13</f>
        <v>0</v>
      </c>
      <c r="U8" s="112">
        <f>'7'!Z15</f>
        <v>0</v>
      </c>
      <c r="V8" s="112">
        <f>'7'!Z17</f>
        <v>0</v>
      </c>
      <c r="W8" s="112">
        <f>'7'!Z19</f>
        <v>0</v>
      </c>
      <c r="X8" s="112">
        <f>'7'!Z21</f>
        <v>0</v>
      </c>
      <c r="Y8" s="112">
        <f>'7'!Z23</f>
        <v>0</v>
      </c>
      <c r="Z8" s="112">
        <f>'7'!Z25</f>
        <v>0</v>
      </c>
      <c r="AA8" s="101">
        <f>'7'!AA5</f>
        <v>0</v>
      </c>
      <c r="AB8" s="118">
        <f>'7'!AA7</f>
        <v>0</v>
      </c>
      <c r="AC8" s="121">
        <f>SUM('7'!X5,'7'!X7)</f>
        <v>0</v>
      </c>
      <c r="AD8" s="122">
        <f>'7'!X9</f>
        <v>0</v>
      </c>
      <c r="AE8" s="126">
        <f>SUM('7'!X11,'7'!X13,'7'!X15,'7'!X17,'7'!X19,'7'!X21)</f>
        <v>0</v>
      </c>
      <c r="AF8" s="128">
        <f>'7'!AB4</f>
        <v>0</v>
      </c>
      <c r="AG8" s="130">
        <f>'7'!AB6</f>
        <v>0</v>
      </c>
      <c r="AH8" s="132">
        <f>'7'!AB8</f>
        <v>0</v>
      </c>
      <c r="AJ8" s="136">
        <v>6</v>
      </c>
      <c r="AK8" s="137">
        <f t="shared" si="1"/>
        <v>6</v>
      </c>
    </row>
    <row r="9" spans="1:37" ht="15" customHeight="1" x14ac:dyDescent="0.4">
      <c r="A9" s="89">
        <f t="shared" si="2"/>
        <v>45846</v>
      </c>
      <c r="B9" s="93" t="str">
        <f t="shared" si="0"/>
        <v>火</v>
      </c>
      <c r="C9" s="102">
        <f>'8'!R51</f>
        <v>0</v>
      </c>
      <c r="D9" s="104"/>
      <c r="E9" s="183">
        <f t="shared" si="3"/>
        <v>0</v>
      </c>
      <c r="F9" s="112">
        <f>'8'!R43</f>
        <v>0</v>
      </c>
      <c r="G9" s="110">
        <f>'8'!R44</f>
        <v>0</v>
      </c>
      <c r="H9" s="112">
        <f>'8'!Y5</f>
        <v>0</v>
      </c>
      <c r="I9" s="110">
        <f>SUM('8'!Y7,'8'!Y9,'8'!Y11,'8'!Y13,'8'!Y15,'8'!Y17,'8'!Y19)</f>
        <v>0</v>
      </c>
      <c r="J9" s="112">
        <f>'8'!W7</f>
        <v>0</v>
      </c>
      <c r="K9" s="112">
        <f>'8'!W9</f>
        <v>0</v>
      </c>
      <c r="L9" s="112">
        <f>'8'!W11</f>
        <v>0</v>
      </c>
      <c r="M9" s="112">
        <f>'8'!W13</f>
        <v>0</v>
      </c>
      <c r="N9" s="112">
        <f>'8'!W15</f>
        <v>0</v>
      </c>
      <c r="O9" s="112">
        <f>'8'!W17</f>
        <v>0</v>
      </c>
      <c r="P9" s="112">
        <f>'8'!Z5</f>
        <v>0</v>
      </c>
      <c r="Q9" s="112">
        <f>'8'!Z7</f>
        <v>0</v>
      </c>
      <c r="R9" s="112">
        <f>'8'!Z9</f>
        <v>0</v>
      </c>
      <c r="S9" s="112">
        <f>'8'!Z11</f>
        <v>0</v>
      </c>
      <c r="T9" s="112">
        <f>'8'!Z13</f>
        <v>0</v>
      </c>
      <c r="U9" s="112">
        <f>'8'!Z15</f>
        <v>0</v>
      </c>
      <c r="V9" s="112">
        <f>'8'!Z17</f>
        <v>0</v>
      </c>
      <c r="W9" s="112">
        <f>'8'!Z19</f>
        <v>0</v>
      </c>
      <c r="X9" s="112">
        <f>'8'!Z21</f>
        <v>0</v>
      </c>
      <c r="Y9" s="112">
        <f>'8'!Z23</f>
        <v>0</v>
      </c>
      <c r="Z9" s="112">
        <f>'8'!Z25</f>
        <v>0</v>
      </c>
      <c r="AA9" s="101">
        <f>'8'!AA5</f>
        <v>0</v>
      </c>
      <c r="AB9" s="118">
        <f>'8'!AA7</f>
        <v>0</v>
      </c>
      <c r="AC9" s="121">
        <f>SUM('8'!X5,'8'!X7)</f>
        <v>0</v>
      </c>
      <c r="AD9" s="122">
        <f>'8'!X9</f>
        <v>0</v>
      </c>
      <c r="AE9" s="126">
        <f>SUM('8'!X11,'8'!X13,'8'!X15,'8'!X17,'8'!X19,'8'!X21)</f>
        <v>0</v>
      </c>
      <c r="AF9" s="128">
        <f>'8'!AB4</f>
        <v>0</v>
      </c>
      <c r="AG9" s="130">
        <f>'8'!AB6</f>
        <v>0</v>
      </c>
      <c r="AH9" s="132">
        <f>'8'!AB8</f>
        <v>0</v>
      </c>
      <c r="AJ9" s="136">
        <v>7</v>
      </c>
      <c r="AK9" s="137">
        <f t="shared" si="1"/>
        <v>7</v>
      </c>
    </row>
    <row r="10" spans="1:37" ht="15" customHeight="1" x14ac:dyDescent="0.4">
      <c r="A10" s="89">
        <f t="shared" si="2"/>
        <v>45847</v>
      </c>
      <c r="B10" s="93" t="str">
        <f t="shared" si="0"/>
        <v>水</v>
      </c>
      <c r="C10" s="102">
        <f>'9'!R51</f>
        <v>0</v>
      </c>
      <c r="D10" s="104"/>
      <c r="E10" s="184">
        <f t="shared" si="3"/>
        <v>0</v>
      </c>
      <c r="F10" s="112">
        <f>'9'!R43</f>
        <v>0</v>
      </c>
      <c r="G10" s="110">
        <f>'9'!R44</f>
        <v>0</v>
      </c>
      <c r="H10" s="112">
        <f>'9'!Y5</f>
        <v>0</v>
      </c>
      <c r="I10" s="110">
        <f>SUM('9'!Y7,'9'!Y9,'9'!Y11,'9'!Y13,'9'!Y15,'9'!Y17,'9'!Y19)</f>
        <v>0</v>
      </c>
      <c r="J10" s="112">
        <f>'9'!W7</f>
        <v>0</v>
      </c>
      <c r="K10" s="112">
        <f>'9'!W9</f>
        <v>0</v>
      </c>
      <c r="L10" s="112">
        <f>'9'!W11</f>
        <v>0</v>
      </c>
      <c r="M10" s="112">
        <f>'9'!W13</f>
        <v>0</v>
      </c>
      <c r="N10" s="112">
        <f>'9'!W15</f>
        <v>0</v>
      </c>
      <c r="O10" s="112">
        <f>'9'!W17</f>
        <v>0</v>
      </c>
      <c r="P10" s="112">
        <f>'9'!Z5</f>
        <v>0</v>
      </c>
      <c r="Q10" s="112">
        <f>'9'!Z7</f>
        <v>0</v>
      </c>
      <c r="R10" s="112">
        <f>'9'!Z9</f>
        <v>0</v>
      </c>
      <c r="S10" s="112">
        <f>'9'!Z11</f>
        <v>0</v>
      </c>
      <c r="T10" s="112">
        <f>'9'!Z13</f>
        <v>0</v>
      </c>
      <c r="U10" s="112">
        <f>'9'!Z15</f>
        <v>0</v>
      </c>
      <c r="V10" s="112">
        <f>'9'!Z17</f>
        <v>0</v>
      </c>
      <c r="W10" s="112">
        <f>'9'!Z19</f>
        <v>0</v>
      </c>
      <c r="X10" s="112">
        <f>'9'!Z21</f>
        <v>0</v>
      </c>
      <c r="Y10" s="112">
        <f>'9'!Z23</f>
        <v>0</v>
      </c>
      <c r="Z10" s="112">
        <f>'9'!Z25</f>
        <v>0</v>
      </c>
      <c r="AA10" s="101">
        <f>'9'!AA5</f>
        <v>0</v>
      </c>
      <c r="AB10" s="118">
        <f>'9'!AA7</f>
        <v>0</v>
      </c>
      <c r="AC10" s="121">
        <f>SUM('9'!X5,'9'!X7)</f>
        <v>0</v>
      </c>
      <c r="AD10" s="122">
        <f>'9'!X9</f>
        <v>0</v>
      </c>
      <c r="AE10" s="126">
        <f>SUM('9'!X11,'9'!X13,'9'!X15,'9'!X17,'9'!X19,'9'!X21)</f>
        <v>0</v>
      </c>
      <c r="AF10" s="128">
        <f>'9'!AB4</f>
        <v>0</v>
      </c>
      <c r="AG10" s="130">
        <f>'9'!AB6</f>
        <v>0</v>
      </c>
      <c r="AH10" s="132">
        <f>'9'!AB8</f>
        <v>0</v>
      </c>
      <c r="AJ10" s="136">
        <v>8</v>
      </c>
      <c r="AK10" s="137">
        <f t="shared" si="1"/>
        <v>8</v>
      </c>
    </row>
    <row r="11" spans="1:37" ht="15" customHeight="1" x14ac:dyDescent="0.4">
      <c r="A11" s="89">
        <f t="shared" si="2"/>
        <v>45848</v>
      </c>
      <c r="B11" s="93" t="str">
        <f t="shared" si="0"/>
        <v>木</v>
      </c>
      <c r="C11" s="102">
        <f>'10'!R51</f>
        <v>0</v>
      </c>
      <c r="D11" s="104"/>
      <c r="E11" s="184">
        <f t="shared" si="3"/>
        <v>0</v>
      </c>
      <c r="F11" s="112">
        <f>'10'!R43</f>
        <v>0</v>
      </c>
      <c r="G11" s="110">
        <f>'10'!R44</f>
        <v>0</v>
      </c>
      <c r="H11" s="112">
        <f>'10'!Y5</f>
        <v>0</v>
      </c>
      <c r="I11" s="106">
        <f>SUM('10'!Y7,'10'!Y9,'10'!Y11,'10'!Y13,'10'!Y15,'10'!Y17,'10'!Y19)</f>
        <v>0</v>
      </c>
      <c r="J11" s="112">
        <f>'10'!W7</f>
        <v>0</v>
      </c>
      <c r="K11" s="112">
        <f>'10'!W9</f>
        <v>0</v>
      </c>
      <c r="L11" s="112">
        <f>'10'!W11</f>
        <v>0</v>
      </c>
      <c r="M11" s="112">
        <f>'10'!W13</f>
        <v>0</v>
      </c>
      <c r="N11" s="112">
        <f>'10'!W15</f>
        <v>0</v>
      </c>
      <c r="O11" s="112">
        <f>'10'!W17</f>
        <v>0</v>
      </c>
      <c r="P11" s="112">
        <f>'10'!Z5</f>
        <v>0</v>
      </c>
      <c r="Q11" s="112">
        <f>'10'!Z7</f>
        <v>0</v>
      </c>
      <c r="R11" s="112">
        <f>'10'!Z9</f>
        <v>0</v>
      </c>
      <c r="S11" s="112">
        <f>'10'!Z11</f>
        <v>0</v>
      </c>
      <c r="T11" s="112">
        <f>'10'!Z13</f>
        <v>0</v>
      </c>
      <c r="U11" s="112">
        <f>'10'!Z15</f>
        <v>0</v>
      </c>
      <c r="V11" s="112">
        <f>'10'!Z17</f>
        <v>0</v>
      </c>
      <c r="W11" s="112">
        <f>'10'!Z19</f>
        <v>0</v>
      </c>
      <c r="X11" s="112">
        <f>'10'!Z21</f>
        <v>0</v>
      </c>
      <c r="Y11" s="112">
        <f>'10'!Z23</f>
        <v>0</v>
      </c>
      <c r="Z11" s="112">
        <f>'10'!Z25</f>
        <v>0</v>
      </c>
      <c r="AA11" s="101">
        <f>'10'!AA5</f>
        <v>0</v>
      </c>
      <c r="AB11" s="190">
        <f>'10'!AA7</f>
        <v>0</v>
      </c>
      <c r="AC11" s="121">
        <f>SUM('10'!X5,'10'!X7)</f>
        <v>0</v>
      </c>
      <c r="AD11" s="122">
        <f>'10'!X9</f>
        <v>0</v>
      </c>
      <c r="AE11" s="126">
        <f>SUM('10'!X11,'10'!X13,'10'!X15,'10'!X17,'10'!X19,'10'!X21)</f>
        <v>0</v>
      </c>
      <c r="AF11" s="128">
        <f>'10'!AB4</f>
        <v>0</v>
      </c>
      <c r="AG11" s="130">
        <f>'10'!AB6</f>
        <v>0</v>
      </c>
      <c r="AH11" s="132">
        <f>'10'!AB8</f>
        <v>0</v>
      </c>
      <c r="AJ11" s="136">
        <v>9</v>
      </c>
      <c r="AK11" s="137">
        <f t="shared" si="1"/>
        <v>9</v>
      </c>
    </row>
    <row r="12" spans="1:37" ht="15" customHeight="1" x14ac:dyDescent="0.4">
      <c r="A12" s="89">
        <f t="shared" si="2"/>
        <v>45849</v>
      </c>
      <c r="B12" s="93" t="str">
        <f t="shared" si="0"/>
        <v>金</v>
      </c>
      <c r="C12" s="102">
        <f>'11'!R51</f>
        <v>0</v>
      </c>
      <c r="D12" s="104"/>
      <c r="E12" s="183">
        <f t="shared" si="3"/>
        <v>0</v>
      </c>
      <c r="F12" s="112">
        <f>'11'!R43</f>
        <v>0</v>
      </c>
      <c r="G12" s="110">
        <f>'11'!R44</f>
        <v>0</v>
      </c>
      <c r="H12" s="112">
        <f>'11'!Y5</f>
        <v>0</v>
      </c>
      <c r="I12" s="110">
        <f>SUM('11'!Y7,'11'!Y9,'11'!Y11,'11'!Y13,'11'!Y15,'11'!Y17,'11'!Y19)</f>
        <v>0</v>
      </c>
      <c r="J12" s="112">
        <f>'11'!W7</f>
        <v>0</v>
      </c>
      <c r="K12" s="112">
        <f>'11'!W9</f>
        <v>0</v>
      </c>
      <c r="L12" s="112">
        <f>'11'!W11</f>
        <v>0</v>
      </c>
      <c r="M12" s="112">
        <f>'11'!W13</f>
        <v>0</v>
      </c>
      <c r="N12" s="112">
        <f>'11'!W15</f>
        <v>0</v>
      </c>
      <c r="O12" s="112">
        <f>'11'!W17</f>
        <v>0</v>
      </c>
      <c r="P12" s="112">
        <f>'11'!Z5</f>
        <v>0</v>
      </c>
      <c r="Q12" s="112">
        <f>'11'!Z7</f>
        <v>0</v>
      </c>
      <c r="R12" s="112">
        <f>'11'!Z9</f>
        <v>0</v>
      </c>
      <c r="S12" s="112">
        <f>'11'!Z11</f>
        <v>0</v>
      </c>
      <c r="T12" s="112">
        <f>'11'!Z13</f>
        <v>0</v>
      </c>
      <c r="U12" s="112">
        <f>'11'!Z15</f>
        <v>0</v>
      </c>
      <c r="V12" s="112">
        <f>'11'!Z17</f>
        <v>0</v>
      </c>
      <c r="W12" s="112">
        <f>'11'!Z19</f>
        <v>0</v>
      </c>
      <c r="X12" s="112">
        <f>'11'!Z21</f>
        <v>0</v>
      </c>
      <c r="Y12" s="112">
        <f>'11'!Z23</f>
        <v>0</v>
      </c>
      <c r="Z12" s="112">
        <f>'11'!Z25</f>
        <v>0</v>
      </c>
      <c r="AA12" s="188">
        <f>'11'!AA5</f>
        <v>0</v>
      </c>
      <c r="AB12" s="189">
        <f>'11'!AA7</f>
        <v>0</v>
      </c>
      <c r="AC12" s="121">
        <f>SUM('11'!X5,'11'!X7)</f>
        <v>0</v>
      </c>
      <c r="AD12" s="120">
        <f>'11'!X9</f>
        <v>0</v>
      </c>
      <c r="AE12" s="126">
        <f>SUM('11'!X11,'11'!X13,'11'!X15,'11'!X17,'11'!X19,'11'!X21)</f>
        <v>0</v>
      </c>
      <c r="AF12" s="127">
        <f>'11'!AB4</f>
        <v>0</v>
      </c>
      <c r="AG12" s="129">
        <f>'11'!AB6</f>
        <v>0</v>
      </c>
      <c r="AH12" s="131">
        <f>'11'!AB8</f>
        <v>0</v>
      </c>
      <c r="AJ12" s="136">
        <v>10</v>
      </c>
      <c r="AK12" s="137">
        <f t="shared" si="1"/>
        <v>10</v>
      </c>
    </row>
    <row r="13" spans="1:37" ht="15" customHeight="1" x14ac:dyDescent="0.4">
      <c r="A13" s="89">
        <f t="shared" si="2"/>
        <v>45850</v>
      </c>
      <c r="B13" s="93" t="str">
        <f t="shared" si="0"/>
        <v>土</v>
      </c>
      <c r="C13" s="102">
        <f>'12'!R51</f>
        <v>0</v>
      </c>
      <c r="D13" s="104"/>
      <c r="E13" s="184">
        <f t="shared" si="3"/>
        <v>0</v>
      </c>
      <c r="F13" s="112">
        <f>'12'!R43</f>
        <v>0</v>
      </c>
      <c r="G13" s="110">
        <f>'12'!R44</f>
        <v>0</v>
      </c>
      <c r="H13" s="112">
        <f>'12'!Y5</f>
        <v>0</v>
      </c>
      <c r="I13" s="110">
        <f>SUM('12'!Y7,'12'!Y9,'12'!Y11,'12'!Y13,'12'!Y15,'12'!Y17,'12'!Y19)</f>
        <v>0</v>
      </c>
      <c r="J13" s="112">
        <f>'12'!W7</f>
        <v>0</v>
      </c>
      <c r="K13" s="112">
        <f>'12'!W9</f>
        <v>0</v>
      </c>
      <c r="L13" s="112">
        <f>'12'!W11</f>
        <v>0</v>
      </c>
      <c r="M13" s="112">
        <f>'12'!W13</f>
        <v>0</v>
      </c>
      <c r="N13" s="112">
        <f>'12'!W15</f>
        <v>0</v>
      </c>
      <c r="O13" s="112">
        <f>'12'!W17</f>
        <v>0</v>
      </c>
      <c r="P13" s="112">
        <f>'12'!Z5</f>
        <v>0</v>
      </c>
      <c r="Q13" s="112">
        <f>'12'!Z7</f>
        <v>0</v>
      </c>
      <c r="R13" s="112">
        <f>'12'!Z9</f>
        <v>0</v>
      </c>
      <c r="S13" s="112">
        <f>'12'!Z11</f>
        <v>0</v>
      </c>
      <c r="T13" s="112">
        <f>'12'!Z13</f>
        <v>0</v>
      </c>
      <c r="U13" s="112">
        <f>'12'!Z15</f>
        <v>0</v>
      </c>
      <c r="V13" s="112">
        <f>'12'!Z17</f>
        <v>0</v>
      </c>
      <c r="W13" s="112">
        <f>'12'!Z19</f>
        <v>0</v>
      </c>
      <c r="X13" s="112">
        <f>'12'!Z21</f>
        <v>0</v>
      </c>
      <c r="Y13" s="112">
        <f>'12'!Z23</f>
        <v>0</v>
      </c>
      <c r="Z13" s="112">
        <f>'12'!Z25</f>
        <v>0</v>
      </c>
      <c r="AA13" s="101">
        <f>'12'!AA5</f>
        <v>0</v>
      </c>
      <c r="AB13" s="118">
        <f>'12'!AA7</f>
        <v>0</v>
      </c>
      <c r="AC13" s="121">
        <f>SUM('12'!X5,'12'!X7)</f>
        <v>0</v>
      </c>
      <c r="AD13" s="122">
        <f>'12'!X9</f>
        <v>0</v>
      </c>
      <c r="AE13" s="126">
        <f>SUM('12'!X11,'12'!X13,'12'!X15,'12'!X17,'12'!X19,'12'!X21)</f>
        <v>0</v>
      </c>
      <c r="AF13" s="128">
        <f>'12'!AB4</f>
        <v>0</v>
      </c>
      <c r="AG13" s="130">
        <f>'12'!AB6</f>
        <v>0</v>
      </c>
      <c r="AH13" s="132">
        <f>'12'!AB8</f>
        <v>0</v>
      </c>
      <c r="AJ13" s="136">
        <v>11</v>
      </c>
      <c r="AK13" s="137">
        <f t="shared" si="1"/>
        <v>11</v>
      </c>
    </row>
    <row r="14" spans="1:37" ht="15" customHeight="1" x14ac:dyDescent="0.4">
      <c r="A14" s="89">
        <f t="shared" si="2"/>
        <v>45851</v>
      </c>
      <c r="B14" s="93" t="str">
        <f t="shared" si="0"/>
        <v>日</v>
      </c>
      <c r="C14" s="102">
        <f>'13'!R51</f>
        <v>0</v>
      </c>
      <c r="D14" s="104"/>
      <c r="E14" s="183">
        <f t="shared" si="3"/>
        <v>0</v>
      </c>
      <c r="F14" s="112">
        <f>'13'!R43</f>
        <v>0</v>
      </c>
      <c r="G14" s="110">
        <f>'13'!R44</f>
        <v>0</v>
      </c>
      <c r="H14" s="112">
        <f>'13'!Y5</f>
        <v>0</v>
      </c>
      <c r="I14" s="110">
        <f>SUM('13'!Y7,'13'!Y9,'13'!Y11,'13'!Y13,'13'!Y15,'13'!Y17,'13'!Y19)</f>
        <v>0</v>
      </c>
      <c r="J14" s="112">
        <f>'13'!W7</f>
        <v>0</v>
      </c>
      <c r="K14" s="112">
        <f>'13'!W9</f>
        <v>0</v>
      </c>
      <c r="L14" s="112">
        <f>'13'!W11</f>
        <v>0</v>
      </c>
      <c r="M14" s="112">
        <f>'13'!W13</f>
        <v>0</v>
      </c>
      <c r="N14" s="112">
        <f>'13'!W15</f>
        <v>0</v>
      </c>
      <c r="O14" s="112">
        <f>'13'!W17</f>
        <v>0</v>
      </c>
      <c r="P14" s="112">
        <f>'13'!Z5</f>
        <v>0</v>
      </c>
      <c r="Q14" s="112">
        <f>'13'!Z7</f>
        <v>0</v>
      </c>
      <c r="R14" s="112">
        <f>'13'!Z9</f>
        <v>0</v>
      </c>
      <c r="S14" s="112">
        <f>'13'!Z11</f>
        <v>0</v>
      </c>
      <c r="T14" s="112">
        <f>'13'!Z13</f>
        <v>0</v>
      </c>
      <c r="U14" s="112">
        <f>'13'!Z15</f>
        <v>0</v>
      </c>
      <c r="V14" s="112">
        <f>'13'!Z17</f>
        <v>0</v>
      </c>
      <c r="W14" s="112">
        <f>'13'!Z19</f>
        <v>0</v>
      </c>
      <c r="X14" s="112">
        <f>'13'!Z21</f>
        <v>0</v>
      </c>
      <c r="Y14" s="112">
        <f>'13'!Z23</f>
        <v>0</v>
      </c>
      <c r="Z14" s="112">
        <f>'13'!Z25</f>
        <v>0</v>
      </c>
      <c r="AA14" s="101">
        <f>'13'!AA5</f>
        <v>0</v>
      </c>
      <c r="AB14" s="118">
        <f>'13'!AA7</f>
        <v>0</v>
      </c>
      <c r="AC14" s="121">
        <f>SUM('13'!X5,'13'!X7)</f>
        <v>0</v>
      </c>
      <c r="AD14" s="122">
        <f>'13'!X9</f>
        <v>0</v>
      </c>
      <c r="AE14" s="126">
        <f>SUM('13'!X11,'13'!X13,'13'!X15,'13'!X17,'13'!X19,'13'!X21)</f>
        <v>0</v>
      </c>
      <c r="AF14" s="128">
        <f>'13'!AB4</f>
        <v>0</v>
      </c>
      <c r="AG14" s="130">
        <f>'13'!AB6</f>
        <v>0</v>
      </c>
      <c r="AH14" s="132">
        <f>'13'!AB8</f>
        <v>0</v>
      </c>
      <c r="AJ14" s="136">
        <v>12</v>
      </c>
      <c r="AK14" s="137">
        <f t="shared" si="1"/>
        <v>12</v>
      </c>
    </row>
    <row r="15" spans="1:37" ht="15" customHeight="1" x14ac:dyDescent="0.4">
      <c r="A15" s="89">
        <f t="shared" si="2"/>
        <v>45852</v>
      </c>
      <c r="B15" s="213" t="str">
        <f t="shared" si="0"/>
        <v>月</v>
      </c>
      <c r="C15" s="102">
        <f>'14'!R51</f>
        <v>0</v>
      </c>
      <c r="D15" s="104"/>
      <c r="E15" s="184">
        <f t="shared" si="3"/>
        <v>0</v>
      </c>
      <c r="F15" s="112">
        <f>'14'!R43</f>
        <v>0</v>
      </c>
      <c r="G15" s="110">
        <f>'14'!R44</f>
        <v>0</v>
      </c>
      <c r="H15" s="112">
        <f>'14'!Y5</f>
        <v>0</v>
      </c>
      <c r="I15" s="110">
        <f>SUM('14'!Y7,'14'!Y9,'14'!Y11,'14'!Y13,'14'!Y15,'14'!Y17,'14'!Y19)</f>
        <v>0</v>
      </c>
      <c r="J15" s="112">
        <f>'14'!W7</f>
        <v>0</v>
      </c>
      <c r="K15" s="112">
        <f>'14'!W9</f>
        <v>0</v>
      </c>
      <c r="L15" s="112">
        <f>'14'!W11</f>
        <v>0</v>
      </c>
      <c r="M15" s="112">
        <f>'14'!W13</f>
        <v>0</v>
      </c>
      <c r="N15" s="112">
        <f>'14'!W15</f>
        <v>0</v>
      </c>
      <c r="O15" s="112">
        <f>'14'!W17</f>
        <v>0</v>
      </c>
      <c r="P15" s="112">
        <f>'14'!Z5</f>
        <v>0</v>
      </c>
      <c r="Q15" s="112">
        <f>'14'!Z7</f>
        <v>0</v>
      </c>
      <c r="R15" s="112">
        <f>'14'!Z9</f>
        <v>0</v>
      </c>
      <c r="S15" s="112">
        <f>'14'!Z11</f>
        <v>0</v>
      </c>
      <c r="T15" s="112">
        <f>'14'!Z13</f>
        <v>0</v>
      </c>
      <c r="U15" s="112">
        <f>'14'!Z15</f>
        <v>0</v>
      </c>
      <c r="V15" s="112">
        <f>'14'!Z17</f>
        <v>0</v>
      </c>
      <c r="W15" s="112">
        <f>'14'!Z19</f>
        <v>0</v>
      </c>
      <c r="X15" s="112">
        <f>'14'!Z21</f>
        <v>0</v>
      </c>
      <c r="Y15" s="112">
        <f>'14'!Z23</f>
        <v>0</v>
      </c>
      <c r="Z15" s="112">
        <f>'14'!Z25</f>
        <v>0</v>
      </c>
      <c r="AA15" s="101">
        <f>'14'!AA5</f>
        <v>0</v>
      </c>
      <c r="AB15" s="118">
        <f>'14'!AA7</f>
        <v>0</v>
      </c>
      <c r="AC15" s="121">
        <f>SUM('14'!X5,'14'!X7)</f>
        <v>0</v>
      </c>
      <c r="AD15" s="122">
        <f>'14'!X9</f>
        <v>0</v>
      </c>
      <c r="AE15" s="126">
        <f>SUM('14'!X11,'14'!X13,'14'!X15,'14'!X17,'14'!X19,'14'!X21)</f>
        <v>0</v>
      </c>
      <c r="AF15" s="128">
        <f>'14'!AB4</f>
        <v>0</v>
      </c>
      <c r="AG15" s="130">
        <f>'14'!AB6</f>
        <v>0</v>
      </c>
      <c r="AH15" s="132">
        <f>'14'!AB8</f>
        <v>0</v>
      </c>
      <c r="AJ15" s="136">
        <v>13</v>
      </c>
      <c r="AK15" s="137">
        <f t="shared" si="1"/>
        <v>13</v>
      </c>
    </row>
    <row r="16" spans="1:37" ht="15" customHeight="1" x14ac:dyDescent="0.4">
      <c r="A16" s="89">
        <f t="shared" si="2"/>
        <v>45853</v>
      </c>
      <c r="B16" s="213" t="str">
        <f t="shared" si="0"/>
        <v>火</v>
      </c>
      <c r="C16" s="102">
        <f>'15'!R51</f>
        <v>0</v>
      </c>
      <c r="D16" s="104"/>
      <c r="E16" s="184">
        <f t="shared" si="3"/>
        <v>0</v>
      </c>
      <c r="F16" s="112">
        <f>'15'!R43</f>
        <v>0</v>
      </c>
      <c r="G16" s="110">
        <f>'15'!R44</f>
        <v>0</v>
      </c>
      <c r="H16" s="112">
        <f>'15'!Y5</f>
        <v>0</v>
      </c>
      <c r="I16" s="110">
        <f>SUM('15'!Y7,'15'!Y9,'15'!Y11,'15'!Y13,'15'!Y15,'15'!Y17,'15'!Y19)</f>
        <v>0</v>
      </c>
      <c r="J16" s="112">
        <f>'15'!W7</f>
        <v>0</v>
      </c>
      <c r="K16" s="112">
        <f>'15'!W9</f>
        <v>0</v>
      </c>
      <c r="L16" s="112">
        <f>'15'!W11</f>
        <v>0</v>
      </c>
      <c r="M16" s="112">
        <f>'15'!W13</f>
        <v>0</v>
      </c>
      <c r="N16" s="112">
        <f>'15'!W15</f>
        <v>0</v>
      </c>
      <c r="O16" s="112">
        <f>'15'!W17</f>
        <v>0</v>
      </c>
      <c r="P16" s="112">
        <f>'15'!Z5</f>
        <v>0</v>
      </c>
      <c r="Q16" s="112">
        <f>'15'!Z7</f>
        <v>0</v>
      </c>
      <c r="R16" s="112">
        <f>'15'!Z9</f>
        <v>0</v>
      </c>
      <c r="S16" s="112">
        <f>'15'!Z11</f>
        <v>0</v>
      </c>
      <c r="T16" s="112">
        <f>'15'!Z13</f>
        <v>0</v>
      </c>
      <c r="U16" s="112">
        <f>'15'!Z15</f>
        <v>0</v>
      </c>
      <c r="V16" s="112">
        <f>'15'!Z17</f>
        <v>0</v>
      </c>
      <c r="W16" s="112">
        <f>'15'!Z19</f>
        <v>0</v>
      </c>
      <c r="X16" s="112">
        <f>'15'!Z21</f>
        <v>0</v>
      </c>
      <c r="Y16" s="112">
        <f>'15'!Z23</f>
        <v>0</v>
      </c>
      <c r="Z16" s="112">
        <f>'15'!Z25</f>
        <v>0</v>
      </c>
      <c r="AA16" s="101">
        <f>'15'!AA5</f>
        <v>0</v>
      </c>
      <c r="AB16" s="118">
        <f>'15'!AA7</f>
        <v>0</v>
      </c>
      <c r="AC16" s="121">
        <f>SUM('15'!X5,'15'!X7)</f>
        <v>0</v>
      </c>
      <c r="AD16" s="122">
        <f>'15'!X9</f>
        <v>0</v>
      </c>
      <c r="AE16" s="126">
        <f>SUM('15'!X11,'15'!X13,'15'!X15,'15'!X17,'15'!X19,'15'!X21)</f>
        <v>0</v>
      </c>
      <c r="AF16" s="128">
        <f>'15'!AB4</f>
        <v>0</v>
      </c>
      <c r="AG16" s="130">
        <f>'15'!AB6</f>
        <v>0</v>
      </c>
      <c r="AH16" s="132">
        <f>'15'!AB8</f>
        <v>0</v>
      </c>
      <c r="AJ16" s="136">
        <v>14</v>
      </c>
      <c r="AK16" s="137">
        <f t="shared" si="1"/>
        <v>14</v>
      </c>
    </row>
    <row r="17" spans="1:37" ht="15" customHeight="1" x14ac:dyDescent="0.4">
      <c r="A17" s="89">
        <f t="shared" si="2"/>
        <v>45854</v>
      </c>
      <c r="B17" s="93" t="str">
        <f t="shared" si="0"/>
        <v>水</v>
      </c>
      <c r="C17" s="102">
        <f>'16'!R51</f>
        <v>0</v>
      </c>
      <c r="D17" s="104"/>
      <c r="E17" s="183">
        <f t="shared" si="3"/>
        <v>0</v>
      </c>
      <c r="F17" s="112">
        <f>'16'!R43</f>
        <v>0</v>
      </c>
      <c r="G17" s="110">
        <f>'16'!R44</f>
        <v>0</v>
      </c>
      <c r="H17" s="112">
        <f>'16'!Y5</f>
        <v>0</v>
      </c>
      <c r="I17" s="110">
        <f>SUM('16'!Y7,'16'!Y9,'16'!Y11,'16'!Y13,'16'!Y15,'16'!Y17,'16'!Y19)</f>
        <v>0</v>
      </c>
      <c r="J17" s="112">
        <f>'16'!W7</f>
        <v>0</v>
      </c>
      <c r="K17" s="112">
        <f>'16'!W9</f>
        <v>0</v>
      </c>
      <c r="L17" s="112">
        <f>'16'!W11</f>
        <v>0</v>
      </c>
      <c r="M17" s="112">
        <f>'16'!W13</f>
        <v>0</v>
      </c>
      <c r="N17" s="112">
        <f>'16'!W15</f>
        <v>0</v>
      </c>
      <c r="O17" s="112">
        <f>'16'!W17</f>
        <v>0</v>
      </c>
      <c r="P17" s="112">
        <f>'16'!Z5</f>
        <v>0</v>
      </c>
      <c r="Q17" s="112">
        <f>'16'!Z7</f>
        <v>0</v>
      </c>
      <c r="R17" s="112">
        <f>'16'!Z9</f>
        <v>0</v>
      </c>
      <c r="S17" s="112">
        <f>'16'!Z11</f>
        <v>0</v>
      </c>
      <c r="T17" s="112">
        <f>'16'!Z13</f>
        <v>0</v>
      </c>
      <c r="U17" s="112">
        <f>'16'!Z15</f>
        <v>0</v>
      </c>
      <c r="V17" s="112">
        <f>'16'!Z17</f>
        <v>0</v>
      </c>
      <c r="W17" s="112">
        <f>'16'!Z19</f>
        <v>0</v>
      </c>
      <c r="X17" s="112">
        <f>'16'!Z21</f>
        <v>0</v>
      </c>
      <c r="Y17" s="112">
        <f>'16'!Z23</f>
        <v>0</v>
      </c>
      <c r="Z17" s="112">
        <f>'16'!Z25</f>
        <v>0</v>
      </c>
      <c r="AA17" s="101">
        <f>'16'!AA5</f>
        <v>0</v>
      </c>
      <c r="AB17" s="118">
        <f>'16'!AA7</f>
        <v>0</v>
      </c>
      <c r="AC17" s="121">
        <f>SUM('16'!X5,'16'!X7)</f>
        <v>0</v>
      </c>
      <c r="AD17" s="122">
        <f>'16'!X9</f>
        <v>0</v>
      </c>
      <c r="AE17" s="126">
        <f>SUM('16'!X11,'16'!X13,'16'!X15,'16'!X17,'16'!X19,'16'!X21)</f>
        <v>0</v>
      </c>
      <c r="AF17" s="128">
        <f>'16'!AB4</f>
        <v>0</v>
      </c>
      <c r="AG17" s="130">
        <f>'16'!AB6</f>
        <v>0</v>
      </c>
      <c r="AH17" s="132">
        <f>'16'!AB8</f>
        <v>0</v>
      </c>
      <c r="AJ17" s="136">
        <v>15</v>
      </c>
      <c r="AK17" s="137">
        <f t="shared" si="1"/>
        <v>15</v>
      </c>
    </row>
    <row r="18" spans="1:37" ht="15" customHeight="1" x14ac:dyDescent="0.4">
      <c r="A18" s="89">
        <f t="shared" si="2"/>
        <v>45855</v>
      </c>
      <c r="B18" s="93" t="str">
        <f t="shared" si="0"/>
        <v>木</v>
      </c>
      <c r="C18" s="102">
        <f>'17'!R51</f>
        <v>0</v>
      </c>
      <c r="D18" s="104"/>
      <c r="E18" s="184">
        <f t="shared" si="3"/>
        <v>0</v>
      </c>
      <c r="F18" s="112">
        <f>'17'!R43</f>
        <v>0</v>
      </c>
      <c r="G18" s="110">
        <f>'17'!R44</f>
        <v>0</v>
      </c>
      <c r="H18" s="112">
        <f>'17'!Y5</f>
        <v>0</v>
      </c>
      <c r="I18" s="110">
        <f>SUM('17'!Y7,'17'!Y9,'17'!Y11,'17'!Y13,'17'!Y15,'17'!Y17,'17'!Y19)</f>
        <v>0</v>
      </c>
      <c r="J18" s="112">
        <f>'17'!W7</f>
        <v>0</v>
      </c>
      <c r="K18" s="112">
        <f>'17'!W9</f>
        <v>0</v>
      </c>
      <c r="L18" s="112">
        <f>'17'!W11</f>
        <v>0</v>
      </c>
      <c r="M18" s="112">
        <f>'17'!W13</f>
        <v>0</v>
      </c>
      <c r="N18" s="112">
        <f>'17'!W15</f>
        <v>0</v>
      </c>
      <c r="O18" s="112">
        <f>'17'!W17</f>
        <v>0</v>
      </c>
      <c r="P18" s="112">
        <f>'17'!Z5</f>
        <v>0</v>
      </c>
      <c r="Q18" s="112">
        <f>'17'!Z7</f>
        <v>0</v>
      </c>
      <c r="R18" s="112">
        <f>'17'!Z9</f>
        <v>0</v>
      </c>
      <c r="S18" s="112">
        <f>'17'!Z11</f>
        <v>0</v>
      </c>
      <c r="T18" s="112">
        <f>'17'!Z13</f>
        <v>0</v>
      </c>
      <c r="U18" s="112">
        <f>'17'!Z15</f>
        <v>0</v>
      </c>
      <c r="V18" s="112">
        <f>'17'!Z17</f>
        <v>0</v>
      </c>
      <c r="W18" s="112">
        <f>'17'!Z19</f>
        <v>0</v>
      </c>
      <c r="X18" s="112">
        <f>'17'!Z21</f>
        <v>0</v>
      </c>
      <c r="Y18" s="112">
        <f>'17'!Z23</f>
        <v>0</v>
      </c>
      <c r="Z18" s="112">
        <f>'17'!Z25</f>
        <v>0</v>
      </c>
      <c r="AA18" s="101">
        <f>'17'!AA5</f>
        <v>0</v>
      </c>
      <c r="AB18" s="118">
        <f>'17'!AA7</f>
        <v>0</v>
      </c>
      <c r="AC18" s="121">
        <f>SUM('17'!X5,'17'!X7)</f>
        <v>0</v>
      </c>
      <c r="AD18" s="122">
        <f>'17'!X9</f>
        <v>0</v>
      </c>
      <c r="AE18" s="126">
        <f>SUM('17'!X11,'17'!X13,'17'!X15,'17'!X17,'17'!X19,'17'!X21)</f>
        <v>0</v>
      </c>
      <c r="AF18" s="128">
        <f>'17'!AB4</f>
        <v>0</v>
      </c>
      <c r="AG18" s="130">
        <f>'17'!AB6</f>
        <v>0</v>
      </c>
      <c r="AH18" s="132">
        <f>'17'!AB8</f>
        <v>0</v>
      </c>
      <c r="AJ18" s="136">
        <v>16</v>
      </c>
      <c r="AK18" s="137">
        <f t="shared" si="1"/>
        <v>16</v>
      </c>
    </row>
    <row r="19" spans="1:37" ht="15" customHeight="1" x14ac:dyDescent="0.4">
      <c r="A19" s="89">
        <f t="shared" si="2"/>
        <v>45856</v>
      </c>
      <c r="B19" s="93" t="str">
        <f t="shared" si="0"/>
        <v>金</v>
      </c>
      <c r="C19" s="102">
        <f>'18'!R51</f>
        <v>0</v>
      </c>
      <c r="D19" s="104"/>
      <c r="E19" s="183">
        <f t="shared" si="3"/>
        <v>0</v>
      </c>
      <c r="F19" s="112">
        <f>'18'!R43</f>
        <v>0</v>
      </c>
      <c r="G19" s="110">
        <f>'18'!R44</f>
        <v>0</v>
      </c>
      <c r="H19" s="112">
        <f>'18'!Y5</f>
        <v>0</v>
      </c>
      <c r="I19" s="110">
        <f>SUM('18'!Y7,'18'!Y9,'18'!Y11,'18'!Y13,'18'!Y15,'18'!Y17,'18'!Y19)</f>
        <v>0</v>
      </c>
      <c r="J19" s="112">
        <f>'18'!W7</f>
        <v>0</v>
      </c>
      <c r="K19" s="112">
        <f>'18'!W9</f>
        <v>0</v>
      </c>
      <c r="L19" s="112">
        <f>'18'!W11</f>
        <v>0</v>
      </c>
      <c r="M19" s="112">
        <f>'18'!W13</f>
        <v>0</v>
      </c>
      <c r="N19" s="112">
        <f>'18'!W15</f>
        <v>0</v>
      </c>
      <c r="O19" s="112">
        <f>'18'!W17</f>
        <v>0</v>
      </c>
      <c r="P19" s="112">
        <f>'18'!Z5</f>
        <v>0</v>
      </c>
      <c r="Q19" s="112">
        <f>'18'!Z7</f>
        <v>0</v>
      </c>
      <c r="R19" s="112">
        <f>'18'!Z9</f>
        <v>0</v>
      </c>
      <c r="S19" s="112">
        <f>'18'!Z11</f>
        <v>0</v>
      </c>
      <c r="T19" s="112">
        <f>'18'!Z13</f>
        <v>0</v>
      </c>
      <c r="U19" s="112">
        <f>'18'!Z15</f>
        <v>0</v>
      </c>
      <c r="V19" s="112">
        <f>'18'!Z17</f>
        <v>0</v>
      </c>
      <c r="W19" s="112">
        <f>'18'!Z19</f>
        <v>0</v>
      </c>
      <c r="X19" s="112">
        <f>'18'!Z21</f>
        <v>0</v>
      </c>
      <c r="Y19" s="112">
        <f>'18'!Z23</f>
        <v>0</v>
      </c>
      <c r="Z19" s="112">
        <f>'18'!Z25</f>
        <v>0</v>
      </c>
      <c r="AA19" s="101">
        <f>'18'!AA5</f>
        <v>0</v>
      </c>
      <c r="AB19" s="118">
        <f>'18'!AA7</f>
        <v>0</v>
      </c>
      <c r="AC19" s="121">
        <f>SUM('18'!X5,'18'!X7)</f>
        <v>0</v>
      </c>
      <c r="AD19" s="122">
        <f>'18'!X9</f>
        <v>0</v>
      </c>
      <c r="AE19" s="126">
        <f>SUM('18'!X11,'18'!X13,'18'!X15,'18'!X17,'18'!X19,'18'!X21)</f>
        <v>0</v>
      </c>
      <c r="AF19" s="128">
        <f>'18'!AB4</f>
        <v>0</v>
      </c>
      <c r="AG19" s="130">
        <f>'18'!AB6</f>
        <v>0</v>
      </c>
      <c r="AH19" s="132">
        <f>'18'!AB8</f>
        <v>0</v>
      </c>
      <c r="AJ19" s="136">
        <v>17</v>
      </c>
      <c r="AK19" s="137">
        <f t="shared" si="1"/>
        <v>17</v>
      </c>
    </row>
    <row r="20" spans="1:37" ht="15" customHeight="1" x14ac:dyDescent="0.4">
      <c r="A20" s="89">
        <f t="shared" si="2"/>
        <v>45857</v>
      </c>
      <c r="B20" s="93" t="str">
        <f t="shared" si="0"/>
        <v>土</v>
      </c>
      <c r="C20" s="102">
        <f>'19'!R51</f>
        <v>0</v>
      </c>
      <c r="D20" s="104"/>
      <c r="E20" s="184">
        <f t="shared" si="3"/>
        <v>0</v>
      </c>
      <c r="F20" s="112">
        <f>'19'!R43</f>
        <v>0</v>
      </c>
      <c r="G20" s="110">
        <f>'19'!R44</f>
        <v>0</v>
      </c>
      <c r="H20" s="112">
        <f>'19'!Y5</f>
        <v>0</v>
      </c>
      <c r="I20" s="106">
        <f>SUM('19'!Y7,'19'!Y9,'19'!Y11,'19'!Y13,'19'!Y15,'19'!Y17,'19'!Y19)</f>
        <v>0</v>
      </c>
      <c r="J20" s="112">
        <f>'19'!W7</f>
        <v>0</v>
      </c>
      <c r="K20" s="112">
        <f>'19'!W9</f>
        <v>0</v>
      </c>
      <c r="L20" s="112">
        <f>'19'!W11</f>
        <v>0</v>
      </c>
      <c r="M20" s="112">
        <f>'19'!W13</f>
        <v>0</v>
      </c>
      <c r="N20" s="112">
        <f>'19'!W15</f>
        <v>0</v>
      </c>
      <c r="O20" s="112">
        <f>'19'!W17</f>
        <v>0</v>
      </c>
      <c r="P20" s="112">
        <f>'19'!Z5</f>
        <v>0</v>
      </c>
      <c r="Q20" s="112">
        <f>'19'!Z7</f>
        <v>0</v>
      </c>
      <c r="R20" s="112">
        <f>'19'!Z9</f>
        <v>0</v>
      </c>
      <c r="S20" s="112">
        <f>'19'!Z11</f>
        <v>0</v>
      </c>
      <c r="T20" s="112">
        <f>'19'!Z13</f>
        <v>0</v>
      </c>
      <c r="U20" s="112">
        <f>'19'!Z15</f>
        <v>0</v>
      </c>
      <c r="V20" s="112">
        <f>'19'!Z17</f>
        <v>0</v>
      </c>
      <c r="W20" s="112">
        <f>'19'!Z19</f>
        <v>0</v>
      </c>
      <c r="X20" s="112">
        <f>'19'!Z21</f>
        <v>0</v>
      </c>
      <c r="Y20" s="112">
        <f>'19'!Z23</f>
        <v>0</v>
      </c>
      <c r="Z20" s="112">
        <f>'19'!Z25</f>
        <v>0</v>
      </c>
      <c r="AA20" s="101">
        <f>'19'!AA5</f>
        <v>0</v>
      </c>
      <c r="AB20" s="118">
        <f>'19'!AA7</f>
        <v>0</v>
      </c>
      <c r="AC20" s="121">
        <f>SUM('19'!X5,'19'!X7)</f>
        <v>0</v>
      </c>
      <c r="AD20" s="122">
        <f>'19'!X9</f>
        <v>0</v>
      </c>
      <c r="AE20" s="126">
        <f>SUM('19'!X11,'19'!X13,'19'!X15,'19'!X17,'19'!X19,'19'!X21)</f>
        <v>0</v>
      </c>
      <c r="AF20" s="128">
        <f>'19'!AB4</f>
        <v>0</v>
      </c>
      <c r="AG20" s="130">
        <f>'19'!AB6</f>
        <v>0</v>
      </c>
      <c r="AH20" s="132">
        <f>'19'!AB8</f>
        <v>0</v>
      </c>
      <c r="AJ20" s="136">
        <v>18</v>
      </c>
      <c r="AK20" s="137">
        <f t="shared" si="1"/>
        <v>18</v>
      </c>
    </row>
    <row r="21" spans="1:37" ht="15" customHeight="1" x14ac:dyDescent="0.4">
      <c r="A21" s="89">
        <f t="shared" si="2"/>
        <v>45858</v>
      </c>
      <c r="B21" s="93" t="str">
        <f t="shared" si="0"/>
        <v>日</v>
      </c>
      <c r="C21" s="102">
        <f>'20'!R51</f>
        <v>0</v>
      </c>
      <c r="D21" s="104"/>
      <c r="E21" s="184">
        <f t="shared" si="3"/>
        <v>0</v>
      </c>
      <c r="F21" s="112">
        <f>'20'!R43</f>
        <v>0</v>
      </c>
      <c r="G21" s="110">
        <f>'20'!R44</f>
        <v>0</v>
      </c>
      <c r="H21" s="112">
        <f>'20'!Y5</f>
        <v>0</v>
      </c>
      <c r="I21" s="110">
        <f>SUM('20'!Y7,'20'!Y9,'20'!Y11,'20'!Y13,'20'!Y15,'20'!Y17,'20'!Y19)</f>
        <v>0</v>
      </c>
      <c r="J21" s="112">
        <f>'20'!W7</f>
        <v>0</v>
      </c>
      <c r="K21" s="112">
        <f>'20'!W9</f>
        <v>0</v>
      </c>
      <c r="L21" s="112">
        <f>'20'!W11</f>
        <v>0</v>
      </c>
      <c r="M21" s="112">
        <f>'20'!W13</f>
        <v>0</v>
      </c>
      <c r="N21" s="112">
        <f>'20'!W15</f>
        <v>0</v>
      </c>
      <c r="O21" s="112">
        <f>'20'!W17</f>
        <v>0</v>
      </c>
      <c r="P21" s="112">
        <f>'20'!Z5</f>
        <v>0</v>
      </c>
      <c r="Q21" s="112">
        <f>'20'!Z7</f>
        <v>0</v>
      </c>
      <c r="R21" s="112">
        <f>'20'!Z9</f>
        <v>0</v>
      </c>
      <c r="S21" s="112">
        <f>'20'!Z11</f>
        <v>0</v>
      </c>
      <c r="T21" s="112">
        <f>'20'!Z13</f>
        <v>0</v>
      </c>
      <c r="U21" s="112">
        <f>'20'!Z15</f>
        <v>0</v>
      </c>
      <c r="V21" s="112">
        <f>'20'!Z17</f>
        <v>0</v>
      </c>
      <c r="W21" s="112">
        <f>'20'!Z19</f>
        <v>0</v>
      </c>
      <c r="X21" s="112">
        <f>'20'!Z21</f>
        <v>0</v>
      </c>
      <c r="Y21" s="112">
        <f>'20'!Z23</f>
        <v>0</v>
      </c>
      <c r="Z21" s="112">
        <f>'20'!Z25</f>
        <v>0</v>
      </c>
      <c r="AA21" s="101">
        <f>'20'!AA5</f>
        <v>0</v>
      </c>
      <c r="AB21" s="190">
        <f>'20'!AA7</f>
        <v>0</v>
      </c>
      <c r="AC21" s="121">
        <f>SUM('20'!X5,'20'!X7)</f>
        <v>0</v>
      </c>
      <c r="AD21" s="122">
        <f>'20'!X9</f>
        <v>0</v>
      </c>
      <c r="AE21" s="126">
        <f>SUM('20'!X11,'20'!X13,'20'!X15,'20'!X17,'20'!X19,'20'!X21)</f>
        <v>0</v>
      </c>
      <c r="AF21" s="128">
        <f>'20'!AB4</f>
        <v>0</v>
      </c>
      <c r="AG21" s="130">
        <f>'20'!AB6</f>
        <v>0</v>
      </c>
      <c r="AH21" s="132">
        <f>'20'!AB8</f>
        <v>0</v>
      </c>
      <c r="AJ21" s="136">
        <v>19</v>
      </c>
      <c r="AK21" s="137">
        <f t="shared" si="1"/>
        <v>19</v>
      </c>
    </row>
    <row r="22" spans="1:37" ht="15" customHeight="1" x14ac:dyDescent="0.4">
      <c r="A22" s="89">
        <f t="shared" si="2"/>
        <v>45859</v>
      </c>
      <c r="B22" s="213" t="str">
        <f t="shared" si="0"/>
        <v>月</v>
      </c>
      <c r="C22" s="102">
        <f>'21'!R51</f>
        <v>0</v>
      </c>
      <c r="D22" s="104"/>
      <c r="E22" s="183">
        <f t="shared" si="3"/>
        <v>0</v>
      </c>
      <c r="F22" s="112">
        <f>'21'!R43</f>
        <v>0</v>
      </c>
      <c r="G22" s="110">
        <f>'21'!R44</f>
        <v>0</v>
      </c>
      <c r="H22" s="112">
        <f>'21'!Y5</f>
        <v>0</v>
      </c>
      <c r="I22" s="110">
        <f>SUM('21'!Y7,'21'!Y9,'21'!Y11,'21'!Y13,'21'!Y15,'21'!Y17,'21'!Y19)</f>
        <v>0</v>
      </c>
      <c r="J22" s="112">
        <f>'21'!W7</f>
        <v>0</v>
      </c>
      <c r="K22" s="112">
        <f>'21'!W9</f>
        <v>0</v>
      </c>
      <c r="L22" s="112">
        <f>'21'!W11</f>
        <v>0</v>
      </c>
      <c r="M22" s="112">
        <f>'21'!W13</f>
        <v>0</v>
      </c>
      <c r="N22" s="112">
        <f>'21'!W15</f>
        <v>0</v>
      </c>
      <c r="O22" s="112">
        <f>'21'!W17</f>
        <v>0</v>
      </c>
      <c r="P22" s="112">
        <f>'21'!Z5</f>
        <v>0</v>
      </c>
      <c r="Q22" s="112">
        <f>'21'!Z7</f>
        <v>0</v>
      </c>
      <c r="R22" s="112">
        <f>'21'!Z9</f>
        <v>0</v>
      </c>
      <c r="S22" s="112">
        <f>'21'!Z11</f>
        <v>0</v>
      </c>
      <c r="T22" s="112">
        <f>'21'!Z13</f>
        <v>0</v>
      </c>
      <c r="U22" s="112">
        <f>'21'!Z15</f>
        <v>0</v>
      </c>
      <c r="V22" s="112">
        <f>'21'!Z17</f>
        <v>0</v>
      </c>
      <c r="W22" s="112">
        <f>'21'!Z19</f>
        <v>0</v>
      </c>
      <c r="X22" s="112">
        <f>'21'!Z21</f>
        <v>0</v>
      </c>
      <c r="Y22" s="112">
        <f>'21'!Z23</f>
        <v>0</v>
      </c>
      <c r="Z22" s="112">
        <f>'21'!Z25</f>
        <v>0</v>
      </c>
      <c r="AA22" s="188">
        <f>'21'!AA5</f>
        <v>0</v>
      </c>
      <c r="AB22" s="189">
        <f>'21'!AA7</f>
        <v>0</v>
      </c>
      <c r="AC22" s="121">
        <f>SUM('21'!X5,'21'!X7)</f>
        <v>0</v>
      </c>
      <c r="AD22" s="120">
        <f>'21'!X9</f>
        <v>0</v>
      </c>
      <c r="AE22" s="126">
        <f>SUM('21'!X11,'21'!X13,'21'!X15,'21'!X17,'21'!X19,'21'!X21)</f>
        <v>0</v>
      </c>
      <c r="AF22" s="127">
        <f>'21'!AB4</f>
        <v>0</v>
      </c>
      <c r="AG22" s="129">
        <f>'21'!AB6</f>
        <v>0</v>
      </c>
      <c r="AH22" s="131">
        <f>'21'!AB8</f>
        <v>0</v>
      </c>
      <c r="AJ22" s="136">
        <v>20</v>
      </c>
      <c r="AK22" s="137">
        <f t="shared" si="1"/>
        <v>20</v>
      </c>
    </row>
    <row r="23" spans="1:37" ht="15" customHeight="1" x14ac:dyDescent="0.4">
      <c r="A23" s="89">
        <f t="shared" si="2"/>
        <v>45860</v>
      </c>
      <c r="B23" s="93" t="str">
        <f t="shared" si="0"/>
        <v>火</v>
      </c>
      <c r="C23" s="102">
        <f>'22'!R51</f>
        <v>0</v>
      </c>
      <c r="D23" s="104"/>
      <c r="E23" s="184">
        <f t="shared" si="3"/>
        <v>0</v>
      </c>
      <c r="F23" s="112">
        <f>'22'!R43</f>
        <v>0</v>
      </c>
      <c r="G23" s="110">
        <f>'22'!R44</f>
        <v>0</v>
      </c>
      <c r="H23" s="112">
        <f>'22'!Y5</f>
        <v>0</v>
      </c>
      <c r="I23" s="110">
        <f>SUM('22'!Y7,'22'!Y9,'22'!Y11,'22'!Y13,'22'!Y15,'22'!Y17,'22'!Y19)</f>
        <v>0</v>
      </c>
      <c r="J23" s="112">
        <f>'22'!W7</f>
        <v>0</v>
      </c>
      <c r="K23" s="112">
        <f>'22'!W9</f>
        <v>0</v>
      </c>
      <c r="L23" s="112">
        <f>'22'!W11</f>
        <v>0</v>
      </c>
      <c r="M23" s="112">
        <f>'22'!W13</f>
        <v>0</v>
      </c>
      <c r="N23" s="112">
        <f>'22'!W15</f>
        <v>0</v>
      </c>
      <c r="O23" s="112">
        <f>'22'!W17</f>
        <v>0</v>
      </c>
      <c r="P23" s="112">
        <f>'22'!Z5</f>
        <v>0</v>
      </c>
      <c r="Q23" s="112">
        <f>'22'!Z7</f>
        <v>0</v>
      </c>
      <c r="R23" s="112">
        <f>'22'!Z9</f>
        <v>0</v>
      </c>
      <c r="S23" s="112">
        <f>'22'!Z11</f>
        <v>0</v>
      </c>
      <c r="T23" s="112">
        <f>'22'!Z13</f>
        <v>0</v>
      </c>
      <c r="U23" s="112">
        <f>'22'!Z15</f>
        <v>0</v>
      </c>
      <c r="V23" s="112">
        <f>'22'!Z17</f>
        <v>0</v>
      </c>
      <c r="W23" s="112">
        <f>'22'!Z19</f>
        <v>0</v>
      </c>
      <c r="X23" s="112">
        <f>'22'!Z21</f>
        <v>0</v>
      </c>
      <c r="Y23" s="112">
        <f>'22'!Z23</f>
        <v>0</v>
      </c>
      <c r="Z23" s="112">
        <f>'22'!Z25</f>
        <v>0</v>
      </c>
      <c r="AA23" s="101">
        <f>'22'!AA5</f>
        <v>0</v>
      </c>
      <c r="AB23" s="118">
        <f>'22'!AA7</f>
        <v>0</v>
      </c>
      <c r="AC23" s="121">
        <f>SUM('22'!X5,'22'!X7)</f>
        <v>0</v>
      </c>
      <c r="AD23" s="122">
        <f>'22'!X9</f>
        <v>0</v>
      </c>
      <c r="AE23" s="126">
        <f>SUM('22'!X11,'22'!X13,'22'!X15,'22'!X17,'22'!X19,'22'!X21)</f>
        <v>0</v>
      </c>
      <c r="AF23" s="128">
        <f>'22'!AB4</f>
        <v>0</v>
      </c>
      <c r="AG23" s="130">
        <f>'22'!AB6</f>
        <v>0</v>
      </c>
      <c r="AH23" s="132">
        <f>'22'!AB8</f>
        <v>0</v>
      </c>
      <c r="AJ23" s="136">
        <v>21</v>
      </c>
      <c r="AK23" s="137">
        <f t="shared" si="1"/>
        <v>21</v>
      </c>
    </row>
    <row r="24" spans="1:37" ht="15" customHeight="1" x14ac:dyDescent="0.4">
      <c r="A24" s="89">
        <f t="shared" si="2"/>
        <v>45861</v>
      </c>
      <c r="B24" s="93" t="str">
        <f t="shared" si="0"/>
        <v>水</v>
      </c>
      <c r="C24" s="102">
        <f>'23'!R51</f>
        <v>0</v>
      </c>
      <c r="D24" s="104"/>
      <c r="E24" s="183">
        <f t="shared" si="3"/>
        <v>0</v>
      </c>
      <c r="F24" s="112">
        <f>'23'!R43</f>
        <v>0</v>
      </c>
      <c r="G24" s="110">
        <f>'23'!R44</f>
        <v>0</v>
      </c>
      <c r="H24" s="112">
        <f>'23'!Y5</f>
        <v>0</v>
      </c>
      <c r="I24" s="110">
        <f>SUM('23'!Y7,'23'!Y9,'23'!Y11,'23'!Y13,'23'!Y15,'23'!Y17,'23'!Y19)</f>
        <v>0</v>
      </c>
      <c r="J24" s="112">
        <f>'23'!W7</f>
        <v>0</v>
      </c>
      <c r="K24" s="112">
        <f>'23'!W9</f>
        <v>0</v>
      </c>
      <c r="L24" s="112">
        <f>'23'!W11</f>
        <v>0</v>
      </c>
      <c r="M24" s="112">
        <f>'23'!W13</f>
        <v>0</v>
      </c>
      <c r="N24" s="112">
        <f>'23'!W15</f>
        <v>0</v>
      </c>
      <c r="O24" s="112">
        <f>'23'!W17</f>
        <v>0</v>
      </c>
      <c r="P24" s="112">
        <f>'23'!Z5</f>
        <v>0</v>
      </c>
      <c r="Q24" s="112">
        <f>'23'!Z7</f>
        <v>0</v>
      </c>
      <c r="R24" s="112">
        <f>'23'!Z9</f>
        <v>0</v>
      </c>
      <c r="S24" s="112">
        <f>'23'!Z11</f>
        <v>0</v>
      </c>
      <c r="T24" s="112">
        <f>'23'!Z13</f>
        <v>0</v>
      </c>
      <c r="U24" s="112">
        <f>'23'!Z15</f>
        <v>0</v>
      </c>
      <c r="V24" s="112">
        <f>'23'!Z17</f>
        <v>0</v>
      </c>
      <c r="W24" s="112">
        <f>'23'!Z19</f>
        <v>0</v>
      </c>
      <c r="X24" s="112">
        <f>'23'!Z21</f>
        <v>0</v>
      </c>
      <c r="Y24" s="112">
        <f>'23'!Z23</f>
        <v>0</v>
      </c>
      <c r="Z24" s="112">
        <f>'23'!Z25</f>
        <v>0</v>
      </c>
      <c r="AA24" s="101">
        <f>'23'!AA5</f>
        <v>0</v>
      </c>
      <c r="AB24" s="118">
        <f>'23'!AA7</f>
        <v>0</v>
      </c>
      <c r="AC24" s="121">
        <f>SUM('23'!X5,'23'!X7)</f>
        <v>0</v>
      </c>
      <c r="AD24" s="122">
        <f>'23'!X9</f>
        <v>0</v>
      </c>
      <c r="AE24" s="126">
        <f>SUM('23'!X11,'23'!X13,'23'!X15,'23'!X17,'23'!X19,'23'!X21)</f>
        <v>0</v>
      </c>
      <c r="AF24" s="128">
        <f>'23'!AB4</f>
        <v>0</v>
      </c>
      <c r="AG24" s="130">
        <f>'23'!AB6</f>
        <v>0</v>
      </c>
      <c r="AH24" s="132">
        <f>'23'!AB8</f>
        <v>0</v>
      </c>
      <c r="AJ24" s="136">
        <v>22</v>
      </c>
      <c r="AK24" s="137">
        <f t="shared" si="1"/>
        <v>22</v>
      </c>
    </row>
    <row r="25" spans="1:37" ht="15" customHeight="1" x14ac:dyDescent="0.4">
      <c r="A25" s="89">
        <f t="shared" si="2"/>
        <v>45862</v>
      </c>
      <c r="B25" s="93" t="str">
        <f t="shared" si="0"/>
        <v>木</v>
      </c>
      <c r="C25" s="102">
        <f>'24'!R51</f>
        <v>0</v>
      </c>
      <c r="D25" s="104"/>
      <c r="E25" s="184">
        <f t="shared" si="3"/>
        <v>0</v>
      </c>
      <c r="F25" s="112">
        <f>'24'!R43</f>
        <v>0</v>
      </c>
      <c r="G25" s="110">
        <f>'24'!R44</f>
        <v>0</v>
      </c>
      <c r="H25" s="112">
        <f>'24'!Y5</f>
        <v>0</v>
      </c>
      <c r="I25" s="110">
        <f>SUM('24'!Y7,'24'!Y9,'24'!Y11,'24'!Y13,'24'!Y15,'24'!Y17,'24'!Y19)</f>
        <v>0</v>
      </c>
      <c r="J25" s="112">
        <f>'24'!W7</f>
        <v>0</v>
      </c>
      <c r="K25" s="112">
        <f>'24'!W9</f>
        <v>0</v>
      </c>
      <c r="L25" s="112">
        <f>'24'!W11</f>
        <v>0</v>
      </c>
      <c r="M25" s="112">
        <f>'24'!W13</f>
        <v>0</v>
      </c>
      <c r="N25" s="112">
        <f>'24'!W15</f>
        <v>0</v>
      </c>
      <c r="O25" s="112">
        <f>'24'!W17</f>
        <v>0</v>
      </c>
      <c r="P25" s="112">
        <f>'24'!Z5</f>
        <v>0</v>
      </c>
      <c r="Q25" s="112">
        <f>'24'!Z7</f>
        <v>0</v>
      </c>
      <c r="R25" s="112">
        <f>'24'!Z9</f>
        <v>0</v>
      </c>
      <c r="S25" s="112">
        <f>'24'!Z11</f>
        <v>0</v>
      </c>
      <c r="T25" s="112">
        <f>'24'!Z13</f>
        <v>0</v>
      </c>
      <c r="U25" s="112">
        <f>'24'!Z15</f>
        <v>0</v>
      </c>
      <c r="V25" s="112">
        <f>'24'!Z17</f>
        <v>0</v>
      </c>
      <c r="W25" s="112">
        <f>'24'!Z19</f>
        <v>0</v>
      </c>
      <c r="X25" s="112">
        <f>'24'!Z21</f>
        <v>0</v>
      </c>
      <c r="Y25" s="112">
        <f>'24'!Z23</f>
        <v>0</v>
      </c>
      <c r="Z25" s="112">
        <f>'24'!Z25</f>
        <v>0</v>
      </c>
      <c r="AA25" s="101">
        <f>'24'!AA5</f>
        <v>0</v>
      </c>
      <c r="AB25" s="118">
        <f>'24'!AA7</f>
        <v>0</v>
      </c>
      <c r="AC25" s="121">
        <f>SUM('24'!X5,'24'!X7)</f>
        <v>0</v>
      </c>
      <c r="AD25" s="122">
        <f>'24'!X9</f>
        <v>0</v>
      </c>
      <c r="AE25" s="126">
        <f>SUM('24'!X11,'24'!X13,'24'!X15,'24'!X17,'24'!X19,'24'!X21)</f>
        <v>0</v>
      </c>
      <c r="AF25" s="128">
        <f>'24'!AB4</f>
        <v>0</v>
      </c>
      <c r="AG25" s="130">
        <f>'24'!AB6</f>
        <v>0</v>
      </c>
      <c r="AH25" s="132">
        <f>'24'!AB8</f>
        <v>0</v>
      </c>
      <c r="AJ25" s="136">
        <v>23</v>
      </c>
      <c r="AK25" s="137">
        <f t="shared" si="1"/>
        <v>23</v>
      </c>
    </row>
    <row r="26" spans="1:37" ht="15" customHeight="1" x14ac:dyDescent="0.4">
      <c r="A26" s="89">
        <f t="shared" si="2"/>
        <v>45863</v>
      </c>
      <c r="B26" s="93" t="str">
        <f t="shared" si="0"/>
        <v>金</v>
      </c>
      <c r="C26" s="102">
        <f>'25'!R51</f>
        <v>0</v>
      </c>
      <c r="D26" s="104"/>
      <c r="E26" s="184">
        <f t="shared" si="3"/>
        <v>0</v>
      </c>
      <c r="F26" s="112">
        <f>'25'!R43</f>
        <v>0</v>
      </c>
      <c r="G26" s="110">
        <f>'25'!R44</f>
        <v>0</v>
      </c>
      <c r="H26" s="112">
        <f>'25'!Y5</f>
        <v>0</v>
      </c>
      <c r="I26" s="110">
        <f>SUM('25'!Y7,'25'!Y9,'25'!Y11,'25'!Y13,'25'!Y15,'25'!Y17,'25'!Y19)</f>
        <v>0</v>
      </c>
      <c r="J26" s="112">
        <f>'25'!W7</f>
        <v>0</v>
      </c>
      <c r="K26" s="112">
        <f>'25'!W9</f>
        <v>0</v>
      </c>
      <c r="L26" s="112">
        <f>'25'!W11</f>
        <v>0</v>
      </c>
      <c r="M26" s="112">
        <f>'25'!W13</f>
        <v>0</v>
      </c>
      <c r="N26" s="112">
        <f>'25'!W15</f>
        <v>0</v>
      </c>
      <c r="O26" s="112">
        <f>'25'!W17</f>
        <v>0</v>
      </c>
      <c r="P26" s="112">
        <f>'25'!Z5</f>
        <v>0</v>
      </c>
      <c r="Q26" s="112">
        <f>'25'!Z7</f>
        <v>0</v>
      </c>
      <c r="R26" s="112">
        <f>'25'!Z9</f>
        <v>0</v>
      </c>
      <c r="S26" s="112">
        <f>'25'!Z11</f>
        <v>0</v>
      </c>
      <c r="T26" s="112">
        <f>'25'!Z13</f>
        <v>0</v>
      </c>
      <c r="U26" s="112">
        <f>'25'!Z15</f>
        <v>0</v>
      </c>
      <c r="V26" s="112">
        <f>'25'!Z17</f>
        <v>0</v>
      </c>
      <c r="W26" s="112">
        <f>'25'!Z19</f>
        <v>0</v>
      </c>
      <c r="X26" s="112">
        <f>'25'!Z21</f>
        <v>0</v>
      </c>
      <c r="Y26" s="112">
        <f>'25'!Z23</f>
        <v>0</v>
      </c>
      <c r="Z26" s="112">
        <f>'25'!Z25</f>
        <v>0</v>
      </c>
      <c r="AA26" s="101">
        <f>'25'!AA5</f>
        <v>0</v>
      </c>
      <c r="AB26" s="118">
        <f>'25'!AA7</f>
        <v>0</v>
      </c>
      <c r="AC26" s="121">
        <f>SUM('25'!X5,'25'!X7)</f>
        <v>0</v>
      </c>
      <c r="AD26" s="122">
        <f>'25'!X9</f>
        <v>0</v>
      </c>
      <c r="AE26" s="126">
        <f>SUM('25'!X11,'25'!X13,'25'!X15,'25'!X17,'25'!X19,'25'!X21)</f>
        <v>0</v>
      </c>
      <c r="AF26" s="128">
        <f>'25'!AB4</f>
        <v>0</v>
      </c>
      <c r="AG26" s="130">
        <f>'25'!AB6</f>
        <v>0</v>
      </c>
      <c r="AH26" s="132">
        <f>'25'!AB8</f>
        <v>0</v>
      </c>
      <c r="AJ26" s="136">
        <v>24</v>
      </c>
      <c r="AK26" s="137">
        <f t="shared" si="1"/>
        <v>24</v>
      </c>
    </row>
    <row r="27" spans="1:37" ht="15" customHeight="1" x14ac:dyDescent="0.4">
      <c r="A27" s="89">
        <f t="shared" si="2"/>
        <v>45864</v>
      </c>
      <c r="B27" s="93" t="str">
        <f t="shared" si="0"/>
        <v>土</v>
      </c>
      <c r="C27" s="102">
        <f>'26'!R51</f>
        <v>0</v>
      </c>
      <c r="D27" s="104"/>
      <c r="E27" s="183">
        <f t="shared" si="3"/>
        <v>0</v>
      </c>
      <c r="F27" s="112">
        <f>'26'!R43</f>
        <v>0</v>
      </c>
      <c r="G27" s="110">
        <f>'26'!R44</f>
        <v>0</v>
      </c>
      <c r="H27" s="112">
        <f>'26'!Y5</f>
        <v>0</v>
      </c>
      <c r="I27" s="110">
        <f>SUM('26'!Y7,'26'!Y9,'26'!Y11,'26'!Y13,'26'!Y15,'26'!Y17,'26'!Y19)</f>
        <v>0</v>
      </c>
      <c r="J27" s="112">
        <f>'26'!W7</f>
        <v>0</v>
      </c>
      <c r="K27" s="112">
        <f>'26'!W9</f>
        <v>0</v>
      </c>
      <c r="L27" s="112">
        <f>'26'!W11</f>
        <v>0</v>
      </c>
      <c r="M27" s="112">
        <f>'26'!W13</f>
        <v>0</v>
      </c>
      <c r="N27" s="112">
        <f>'26'!W15</f>
        <v>0</v>
      </c>
      <c r="O27" s="112">
        <f>'26'!W17</f>
        <v>0</v>
      </c>
      <c r="P27" s="112">
        <f>'26'!Z5</f>
        <v>0</v>
      </c>
      <c r="Q27" s="112">
        <f>'26'!Z7</f>
        <v>0</v>
      </c>
      <c r="R27" s="112">
        <f>'26'!Z9</f>
        <v>0</v>
      </c>
      <c r="S27" s="112">
        <f>'26'!Z11</f>
        <v>0</v>
      </c>
      <c r="T27" s="112">
        <f>'26'!Z13</f>
        <v>0</v>
      </c>
      <c r="U27" s="112">
        <f>'26'!Z15</f>
        <v>0</v>
      </c>
      <c r="V27" s="112">
        <f>'26'!Z17</f>
        <v>0</v>
      </c>
      <c r="W27" s="112">
        <f>'26'!Z19</f>
        <v>0</v>
      </c>
      <c r="X27" s="112">
        <f>'26'!Z21</f>
        <v>0</v>
      </c>
      <c r="Y27" s="112">
        <f>'26'!Z23</f>
        <v>0</v>
      </c>
      <c r="Z27" s="112">
        <f>'26'!Z25</f>
        <v>0</v>
      </c>
      <c r="AA27" s="101">
        <f>'26'!AA5</f>
        <v>0</v>
      </c>
      <c r="AB27" s="118">
        <f>'26'!AA7</f>
        <v>0</v>
      </c>
      <c r="AC27" s="121">
        <f>SUM('26'!X5,'26'!X7)</f>
        <v>0</v>
      </c>
      <c r="AD27" s="122">
        <f>'26'!X9</f>
        <v>0</v>
      </c>
      <c r="AE27" s="126">
        <f>SUM('26'!X11,'26'!X13,'26'!X15,'26'!X17,'26'!X19,'26'!X21)</f>
        <v>0</v>
      </c>
      <c r="AF27" s="128">
        <f>'26'!AB4</f>
        <v>0</v>
      </c>
      <c r="AG27" s="130">
        <f>'26'!AB6</f>
        <v>0</v>
      </c>
      <c r="AH27" s="132">
        <f>'26'!AB8</f>
        <v>0</v>
      </c>
      <c r="AJ27" s="136">
        <v>25</v>
      </c>
      <c r="AK27" s="137">
        <f t="shared" si="1"/>
        <v>25</v>
      </c>
    </row>
    <row r="28" spans="1:37" ht="15" customHeight="1" x14ac:dyDescent="0.4">
      <c r="A28" s="89">
        <f t="shared" si="2"/>
        <v>45865</v>
      </c>
      <c r="B28" s="93" t="str">
        <f t="shared" si="0"/>
        <v>日</v>
      </c>
      <c r="C28" s="102">
        <f>'27'!R51</f>
        <v>0</v>
      </c>
      <c r="D28" s="104"/>
      <c r="E28" s="184">
        <f t="shared" si="3"/>
        <v>0</v>
      </c>
      <c r="F28" s="112">
        <f>'27'!R43</f>
        <v>0</v>
      </c>
      <c r="G28" s="110">
        <f>'27'!R44</f>
        <v>0</v>
      </c>
      <c r="H28" s="112">
        <f>'27'!Y5</f>
        <v>0</v>
      </c>
      <c r="I28" s="110">
        <f>SUM('27'!Y7,'27'!Y9,'27'!Y11,'27'!Y13,'27'!Y15,'27'!Y17,'27'!Y19)</f>
        <v>0</v>
      </c>
      <c r="J28" s="112">
        <f>'27'!W7</f>
        <v>0</v>
      </c>
      <c r="K28" s="112">
        <f>'27'!W9</f>
        <v>0</v>
      </c>
      <c r="L28" s="112">
        <f>'27'!W11</f>
        <v>0</v>
      </c>
      <c r="M28" s="112">
        <f>'27'!W13</f>
        <v>0</v>
      </c>
      <c r="N28" s="112">
        <f>'27'!W15</f>
        <v>0</v>
      </c>
      <c r="O28" s="112">
        <f>'27'!W17</f>
        <v>0</v>
      </c>
      <c r="P28" s="112">
        <f>'27'!Z5</f>
        <v>0</v>
      </c>
      <c r="Q28" s="112">
        <f>'27'!Z7</f>
        <v>0</v>
      </c>
      <c r="R28" s="112">
        <f>'27'!Z9</f>
        <v>0</v>
      </c>
      <c r="S28" s="112">
        <f>'27'!Z11</f>
        <v>0</v>
      </c>
      <c r="T28" s="112">
        <f>'27'!Z13</f>
        <v>0</v>
      </c>
      <c r="U28" s="112">
        <f>'27'!Z15</f>
        <v>0</v>
      </c>
      <c r="V28" s="112">
        <f>'27'!Z17</f>
        <v>0</v>
      </c>
      <c r="W28" s="112">
        <f>'27'!Z19</f>
        <v>0</v>
      </c>
      <c r="X28" s="112">
        <f>'27'!Z21</f>
        <v>0</v>
      </c>
      <c r="Y28" s="112">
        <f>'27'!Z23</f>
        <v>0</v>
      </c>
      <c r="Z28" s="112">
        <f>'27'!Z25</f>
        <v>0</v>
      </c>
      <c r="AA28" s="101">
        <f>'27'!AA5</f>
        <v>0</v>
      </c>
      <c r="AB28" s="118">
        <f>'27'!AA7</f>
        <v>0</v>
      </c>
      <c r="AC28" s="121">
        <f>SUM('27'!X5,'27'!X7)</f>
        <v>0</v>
      </c>
      <c r="AD28" s="122">
        <f>'27'!X9</f>
        <v>0</v>
      </c>
      <c r="AE28" s="126">
        <f>SUM('27'!X11,'27'!X13,'27'!X15,'27'!X17,'27'!X19,'27'!X21)</f>
        <v>0</v>
      </c>
      <c r="AF28" s="128">
        <f>'27'!AB4</f>
        <v>0</v>
      </c>
      <c r="AG28" s="130">
        <f>'27'!AB6</f>
        <v>0</v>
      </c>
      <c r="AH28" s="132">
        <f>'27'!AB8</f>
        <v>0</v>
      </c>
      <c r="AJ28" s="136">
        <v>26</v>
      </c>
      <c r="AK28" s="137">
        <f t="shared" si="1"/>
        <v>26</v>
      </c>
    </row>
    <row r="29" spans="1:37" ht="15" customHeight="1" x14ac:dyDescent="0.4">
      <c r="A29" s="89">
        <f t="shared" si="2"/>
        <v>45866</v>
      </c>
      <c r="B29" s="213" t="str">
        <f t="shared" si="0"/>
        <v>月</v>
      </c>
      <c r="C29" s="102">
        <f>'28'!R51</f>
        <v>0</v>
      </c>
      <c r="D29" s="104"/>
      <c r="E29" s="183">
        <f t="shared" si="3"/>
        <v>0</v>
      </c>
      <c r="F29" s="112">
        <f>'28'!R43</f>
        <v>0</v>
      </c>
      <c r="G29" s="110">
        <f>'28'!R44</f>
        <v>0</v>
      </c>
      <c r="H29" s="112">
        <f>'28'!Y5</f>
        <v>0</v>
      </c>
      <c r="I29" s="110">
        <f>SUM('28'!Y7,'28'!Y9,'28'!Y11,'28'!Y13,'28'!Y15,'28'!Y17,'28'!Y19)</f>
        <v>0</v>
      </c>
      <c r="J29" s="112">
        <f>'28'!W7</f>
        <v>0</v>
      </c>
      <c r="K29" s="112">
        <f>'28'!W9</f>
        <v>0</v>
      </c>
      <c r="L29" s="112">
        <f>'28'!W11</f>
        <v>0</v>
      </c>
      <c r="M29" s="112">
        <f>'28'!W13</f>
        <v>0</v>
      </c>
      <c r="N29" s="112">
        <f>'28'!W15</f>
        <v>0</v>
      </c>
      <c r="O29" s="112">
        <f>'28'!W17</f>
        <v>0</v>
      </c>
      <c r="P29" s="112">
        <f>'28'!Z5</f>
        <v>0</v>
      </c>
      <c r="Q29" s="112">
        <f>'28'!Z7</f>
        <v>0</v>
      </c>
      <c r="R29" s="112">
        <f>'28'!Z9</f>
        <v>0</v>
      </c>
      <c r="S29" s="112">
        <f>'28'!Z11</f>
        <v>0</v>
      </c>
      <c r="T29" s="112">
        <f>'28'!Z13</f>
        <v>0</v>
      </c>
      <c r="U29" s="112">
        <f>'28'!Z15</f>
        <v>0</v>
      </c>
      <c r="V29" s="112">
        <f>'28'!Z17</f>
        <v>0</v>
      </c>
      <c r="W29" s="112">
        <f>'28'!Z19</f>
        <v>0</v>
      </c>
      <c r="X29" s="112">
        <f>'28'!Z21</f>
        <v>0</v>
      </c>
      <c r="Y29" s="112">
        <f>'28'!Z23</f>
        <v>0</v>
      </c>
      <c r="Z29" s="112">
        <f>'28'!Z25</f>
        <v>0</v>
      </c>
      <c r="AA29" s="101">
        <f>'28'!AA5</f>
        <v>0</v>
      </c>
      <c r="AB29" s="118">
        <f>'28'!AA7</f>
        <v>0</v>
      </c>
      <c r="AC29" s="121">
        <f>SUM('28'!X5,'28'!X7)</f>
        <v>0</v>
      </c>
      <c r="AD29" s="122">
        <f>'28'!X9</f>
        <v>0</v>
      </c>
      <c r="AE29" s="126">
        <f>SUM('28'!X11,'28'!X13,'28'!X15,'28'!X17,'28'!X19,'28'!X21)</f>
        <v>0</v>
      </c>
      <c r="AF29" s="128">
        <f>'28'!AB4</f>
        <v>0</v>
      </c>
      <c r="AG29" s="130">
        <f>'28'!AB6</f>
        <v>0</v>
      </c>
      <c r="AH29" s="132">
        <f>'28'!AB8</f>
        <v>0</v>
      </c>
      <c r="AJ29" s="136">
        <v>27</v>
      </c>
      <c r="AK29" s="137">
        <f t="shared" si="1"/>
        <v>27</v>
      </c>
    </row>
    <row r="30" spans="1:37" ht="15" customHeight="1" x14ac:dyDescent="0.4">
      <c r="A30" s="89">
        <f t="shared" si="2"/>
        <v>45867</v>
      </c>
      <c r="B30" s="93" t="str">
        <f t="shared" si="0"/>
        <v>火</v>
      </c>
      <c r="C30" s="102">
        <f>'29'!R51</f>
        <v>0</v>
      </c>
      <c r="D30" s="104"/>
      <c r="E30" s="184">
        <f t="shared" si="3"/>
        <v>0</v>
      </c>
      <c r="F30" s="112">
        <f>'29'!R43</f>
        <v>0</v>
      </c>
      <c r="G30" s="110">
        <f>'29'!R44</f>
        <v>0</v>
      </c>
      <c r="H30" s="112">
        <f>'29'!Y5</f>
        <v>0</v>
      </c>
      <c r="I30" s="110">
        <f>SUM('29'!Y7,'29'!Y9,'29'!Y11,'29'!Y13,'29'!Y15,'29'!Y17,'29'!Y19)</f>
        <v>0</v>
      </c>
      <c r="J30" s="112">
        <f>'29'!W7</f>
        <v>0</v>
      </c>
      <c r="K30" s="112">
        <f>'29'!W9</f>
        <v>0</v>
      </c>
      <c r="L30" s="112">
        <f>'29'!W11</f>
        <v>0</v>
      </c>
      <c r="M30" s="112">
        <f>'29'!W13</f>
        <v>0</v>
      </c>
      <c r="N30" s="112">
        <f>'29'!W15</f>
        <v>0</v>
      </c>
      <c r="O30" s="112">
        <f>'29'!W17</f>
        <v>0</v>
      </c>
      <c r="P30" s="112">
        <f>'29'!Z5</f>
        <v>0</v>
      </c>
      <c r="Q30" s="112">
        <f>'29'!Z7</f>
        <v>0</v>
      </c>
      <c r="R30" s="112">
        <f>'29'!Z9</f>
        <v>0</v>
      </c>
      <c r="S30" s="112">
        <f>'29'!Z11</f>
        <v>0</v>
      </c>
      <c r="T30" s="112">
        <f>'29'!Z13</f>
        <v>0</v>
      </c>
      <c r="U30" s="112">
        <f>'29'!Z15</f>
        <v>0</v>
      </c>
      <c r="V30" s="112">
        <f>'29'!Z17</f>
        <v>0</v>
      </c>
      <c r="W30" s="112">
        <f>'29'!Z19</f>
        <v>0</v>
      </c>
      <c r="X30" s="112">
        <f>'29'!Z21</f>
        <v>0</v>
      </c>
      <c r="Y30" s="112">
        <f>'29'!Z23</f>
        <v>0</v>
      </c>
      <c r="Z30" s="112">
        <f>'29'!Z25</f>
        <v>0</v>
      </c>
      <c r="AA30" s="101">
        <f>'29'!AA5</f>
        <v>0</v>
      </c>
      <c r="AB30" s="118">
        <f>'29'!AA7</f>
        <v>0</v>
      </c>
      <c r="AC30" s="121">
        <f>SUM('29'!X5,'29'!X7)</f>
        <v>0</v>
      </c>
      <c r="AD30" s="122">
        <f>'29'!X9</f>
        <v>0</v>
      </c>
      <c r="AE30" s="126">
        <f>SUM('29'!X11,'29'!X13,'29'!X15,'29'!X17,'29'!X19,'29'!X21)</f>
        <v>0</v>
      </c>
      <c r="AF30" s="128">
        <f>'29'!AB4</f>
        <v>0</v>
      </c>
      <c r="AG30" s="130">
        <f>'29'!AB6</f>
        <v>0</v>
      </c>
      <c r="AH30" s="132">
        <f>'29'!AB8</f>
        <v>0</v>
      </c>
      <c r="AJ30" s="136">
        <v>28</v>
      </c>
      <c r="AK30" s="137">
        <f t="shared" si="1"/>
        <v>28</v>
      </c>
    </row>
    <row r="31" spans="1:37" ht="15" customHeight="1" x14ac:dyDescent="0.4">
      <c r="A31" s="89">
        <f t="shared" si="2"/>
        <v>45868</v>
      </c>
      <c r="B31" s="93" t="str">
        <f t="shared" si="0"/>
        <v>水</v>
      </c>
      <c r="C31" s="102">
        <f>'30'!R51</f>
        <v>0</v>
      </c>
      <c r="D31" s="104"/>
      <c r="E31" s="184">
        <f t="shared" si="3"/>
        <v>0</v>
      </c>
      <c r="F31" s="112">
        <f>'30'!R43</f>
        <v>0</v>
      </c>
      <c r="G31" s="110">
        <f>'30'!R44</f>
        <v>0</v>
      </c>
      <c r="H31" s="112">
        <f>'30'!Y5</f>
        <v>0</v>
      </c>
      <c r="I31" s="110">
        <f>SUM('30'!Y7,'30'!Y9,'30'!Y11,'30'!Y13,'30'!Y15,'30'!Y17,'30'!Y19)</f>
        <v>0</v>
      </c>
      <c r="J31" s="112">
        <f>'30'!W7</f>
        <v>0</v>
      </c>
      <c r="K31" s="112">
        <f>'30'!W9</f>
        <v>0</v>
      </c>
      <c r="L31" s="112">
        <f>'30'!W11</f>
        <v>0</v>
      </c>
      <c r="M31" s="112">
        <f>'30'!W13</f>
        <v>0</v>
      </c>
      <c r="N31" s="112">
        <f>'30'!W15</f>
        <v>0</v>
      </c>
      <c r="O31" s="112">
        <f>'30'!W17</f>
        <v>0</v>
      </c>
      <c r="P31" s="112">
        <f>'30'!Z5</f>
        <v>0</v>
      </c>
      <c r="Q31" s="112">
        <f>'30'!Z7</f>
        <v>0</v>
      </c>
      <c r="R31" s="112">
        <f>'30'!Z9</f>
        <v>0</v>
      </c>
      <c r="S31" s="112">
        <f>'30'!Z11</f>
        <v>0</v>
      </c>
      <c r="T31" s="112">
        <f>'30'!Z13</f>
        <v>0</v>
      </c>
      <c r="U31" s="112">
        <f>'30'!Z15</f>
        <v>0</v>
      </c>
      <c r="V31" s="112">
        <f>'30'!Z17</f>
        <v>0</v>
      </c>
      <c r="W31" s="112">
        <f>'30'!Z19</f>
        <v>0</v>
      </c>
      <c r="X31" s="112">
        <f>'30'!Z21</f>
        <v>0</v>
      </c>
      <c r="Y31" s="112">
        <f>'30'!Z23</f>
        <v>0</v>
      </c>
      <c r="Z31" s="112">
        <f>'30'!Z25</f>
        <v>0</v>
      </c>
      <c r="AA31" s="101">
        <f>'30'!AA5</f>
        <v>0</v>
      </c>
      <c r="AB31" s="190">
        <f>'30'!AA7</f>
        <v>0</v>
      </c>
      <c r="AC31" s="121">
        <f>SUM('30'!X5,'30'!X7)</f>
        <v>0</v>
      </c>
      <c r="AD31" s="122">
        <f>'30'!X9</f>
        <v>0</v>
      </c>
      <c r="AE31" s="126">
        <f>SUM('30'!X11,'30'!X13,'30'!X15,'30'!X17,'30'!X19,'30'!X21)</f>
        <v>0</v>
      </c>
      <c r="AF31" s="128">
        <f>'30'!AB4</f>
        <v>0</v>
      </c>
      <c r="AG31" s="130">
        <f>'30'!AB6</f>
        <v>0</v>
      </c>
      <c r="AH31" s="132">
        <f>'30'!AB8</f>
        <v>0</v>
      </c>
      <c r="AJ31" s="136">
        <v>29</v>
      </c>
      <c r="AK31" s="137">
        <f t="shared" si="1"/>
        <v>29</v>
      </c>
    </row>
    <row r="32" spans="1:37" ht="15" customHeight="1" thickBot="1" x14ac:dyDescent="0.45">
      <c r="A32" s="90">
        <f t="shared" si="2"/>
        <v>45869</v>
      </c>
      <c r="B32" s="94" t="str">
        <f t="shared" si="0"/>
        <v>木</v>
      </c>
      <c r="C32" s="187">
        <f>'31'!R51</f>
        <v>0</v>
      </c>
      <c r="D32" s="105"/>
      <c r="E32" s="183">
        <f t="shared" si="3"/>
        <v>0</v>
      </c>
      <c r="F32" s="115">
        <f>'31'!R43</f>
        <v>0</v>
      </c>
      <c r="G32" s="114">
        <f>'31'!R44</f>
        <v>0</v>
      </c>
      <c r="H32" s="115">
        <f>'31'!Y5</f>
        <v>0</v>
      </c>
      <c r="I32" s="114">
        <f>SUM('31'!Y7,'31'!Y9,'31'!Y11,'31'!Y13,'31'!Y15,'31'!Y17,'31'!Y19)</f>
        <v>0</v>
      </c>
      <c r="J32" s="112">
        <f>'31'!W7</f>
        <v>0</v>
      </c>
      <c r="K32" s="112">
        <f>'31'!W9</f>
        <v>0</v>
      </c>
      <c r="L32" s="112">
        <f>'31'!W11</f>
        <v>0</v>
      </c>
      <c r="M32" s="112">
        <f>'31'!W13</f>
        <v>0</v>
      </c>
      <c r="N32" s="112">
        <f>'31'!W15</f>
        <v>0</v>
      </c>
      <c r="O32" s="214">
        <f>'31'!W17</f>
        <v>0</v>
      </c>
      <c r="P32" s="214">
        <f>'31'!Z5</f>
        <v>0</v>
      </c>
      <c r="Q32" s="214">
        <f>'31'!Z7</f>
        <v>0</v>
      </c>
      <c r="R32" s="214">
        <f>'31'!Z9</f>
        <v>0</v>
      </c>
      <c r="S32" s="214">
        <f>'31'!Z11</f>
        <v>0</v>
      </c>
      <c r="T32" s="214">
        <f>'31'!Z13</f>
        <v>0</v>
      </c>
      <c r="U32" s="214">
        <f>'31'!Z15</f>
        <v>0</v>
      </c>
      <c r="V32" s="214">
        <f>'31'!Z17</f>
        <v>0</v>
      </c>
      <c r="W32" s="214">
        <f>'31'!Z19</f>
        <v>0</v>
      </c>
      <c r="X32" s="214">
        <f>'31'!Z21</f>
        <v>0</v>
      </c>
      <c r="Y32" s="214">
        <f>'31'!Z23</f>
        <v>0</v>
      </c>
      <c r="Z32" s="214">
        <f>'31'!Z25</f>
        <v>0</v>
      </c>
      <c r="AA32" s="215">
        <f>'31'!AA5</f>
        <v>0</v>
      </c>
      <c r="AB32" s="216">
        <f>'31'!AA7</f>
        <v>0</v>
      </c>
      <c r="AC32" s="217">
        <f>SUM('31'!X5,'31'!X7)</f>
        <v>0</v>
      </c>
      <c r="AD32" s="218">
        <f>'31'!X9</f>
        <v>0</v>
      </c>
      <c r="AE32" s="219">
        <f>SUM('31'!X11,'31'!X13,'31'!X15,'31'!X17,'31'!X19,'31'!X21)</f>
        <v>0</v>
      </c>
      <c r="AF32" s="220">
        <f>'31'!AB4</f>
        <v>0</v>
      </c>
      <c r="AG32" s="221">
        <f>'31'!AB6</f>
        <v>0</v>
      </c>
      <c r="AH32" s="222">
        <f>'31'!AB8</f>
        <v>0</v>
      </c>
      <c r="AJ32" s="136">
        <v>30</v>
      </c>
      <c r="AK32" s="137">
        <f t="shared" si="1"/>
        <v>30</v>
      </c>
    </row>
    <row r="33" spans="1:37" ht="19.5" thickBot="1" x14ac:dyDescent="0.45">
      <c r="A33" s="226" t="s">
        <v>47</v>
      </c>
      <c r="B33" s="227"/>
      <c r="C33" s="96">
        <f>SUM(C2:C32)</f>
        <v>0</v>
      </c>
      <c r="D33" s="96">
        <f t="shared" ref="D33:O33" si="4">SUM(D2:D32)</f>
        <v>0</v>
      </c>
      <c r="E33" s="96">
        <f t="shared" si="4"/>
        <v>0</v>
      </c>
      <c r="F33" s="185">
        <f t="shared" si="4"/>
        <v>0</v>
      </c>
      <c r="G33" s="97">
        <f t="shared" si="4"/>
        <v>0</v>
      </c>
      <c r="H33" s="97">
        <f t="shared" si="4"/>
        <v>0</v>
      </c>
      <c r="I33" s="97">
        <f t="shared" si="4"/>
        <v>0</v>
      </c>
      <c r="J33" s="97">
        <f t="shared" ref="J33" si="5">SUM(J2:J32)</f>
        <v>0</v>
      </c>
      <c r="K33" s="97">
        <f t="shared" ref="K33" si="6">SUM(K2:K32)</f>
        <v>0</v>
      </c>
      <c r="L33" s="97">
        <f t="shared" ref="L33" si="7">SUM(L2:L32)</f>
        <v>0</v>
      </c>
      <c r="M33" s="97">
        <f t="shared" ref="M33" si="8">SUM(M2:M32)</f>
        <v>0</v>
      </c>
      <c r="N33" s="97">
        <f t="shared" ref="N33" si="9">SUM(N2:N32)</f>
        <v>0</v>
      </c>
      <c r="O33" s="98">
        <f t="shared" si="4"/>
        <v>0</v>
      </c>
      <c r="P33" s="98">
        <f t="shared" ref="P33" si="10">SUM(P2:P32)</f>
        <v>0</v>
      </c>
      <c r="Q33" s="98">
        <f t="shared" ref="Q33" si="11">SUM(Q2:Q32)</f>
        <v>0</v>
      </c>
      <c r="R33" s="98">
        <f t="shared" ref="R33" si="12">SUM(R2:R32)</f>
        <v>0</v>
      </c>
      <c r="S33" s="98">
        <f t="shared" ref="S33" si="13">SUM(S2:S32)</f>
        <v>0</v>
      </c>
      <c r="T33" s="98">
        <f t="shared" ref="T33" si="14">SUM(T2:T32)</f>
        <v>0</v>
      </c>
      <c r="U33" s="98">
        <f t="shared" ref="U33" si="15">SUM(U2:U32)</f>
        <v>0</v>
      </c>
      <c r="V33" s="98">
        <f t="shared" ref="V33" si="16">SUM(V2:V32)</f>
        <v>0</v>
      </c>
      <c r="W33" s="98">
        <f t="shared" ref="W33" si="17">SUM(W2:W32)</f>
        <v>0</v>
      </c>
      <c r="X33" s="98">
        <f t="shared" ref="X33" si="18">SUM(X2:X32)</f>
        <v>0</v>
      </c>
      <c r="Y33" s="98">
        <f t="shared" ref="Y33" si="19">SUM(Y2:Y32)</f>
        <v>0</v>
      </c>
      <c r="Z33" s="98">
        <f t="shared" ref="Z33" si="20">SUM(Z2:Z32)</f>
        <v>0</v>
      </c>
      <c r="AA33" s="99">
        <f t="shared" ref="AA33" si="21">SUM(AA2:AA32)</f>
        <v>0</v>
      </c>
      <c r="AB33" s="99">
        <f t="shared" ref="AB33" si="22">SUM(AB2:AB32)</f>
        <v>0</v>
      </c>
      <c r="AC33" s="99">
        <f t="shared" ref="AC33" si="23">SUM(AC2:AC32)</f>
        <v>0</v>
      </c>
      <c r="AD33" s="99">
        <f t="shared" ref="AD33" si="24">SUM(AD2:AD32)</f>
        <v>0</v>
      </c>
      <c r="AE33" s="99">
        <f t="shared" ref="AE33:AH33" si="25">SUM(AE2:AE32)</f>
        <v>0</v>
      </c>
      <c r="AF33" s="99">
        <f t="shared" si="25"/>
        <v>0</v>
      </c>
      <c r="AG33" s="99">
        <f t="shared" si="25"/>
        <v>0</v>
      </c>
      <c r="AH33" s="223">
        <f t="shared" si="25"/>
        <v>0</v>
      </c>
      <c r="AJ33" s="136">
        <v>31</v>
      </c>
      <c r="AK33" s="137">
        <f t="shared" si="1"/>
        <v>31</v>
      </c>
    </row>
    <row r="34" spans="1:37" ht="19.5" thickBot="1" x14ac:dyDescent="0.45"/>
    <row r="35" spans="1:37" x14ac:dyDescent="0.4">
      <c r="A35" s="84" t="s">
        <v>81</v>
      </c>
      <c r="B35" s="85" t="s">
        <v>82</v>
      </c>
    </row>
    <row r="36" spans="1:37" ht="19.5" thickBot="1" x14ac:dyDescent="0.45">
      <c r="A36" s="86">
        <v>2025</v>
      </c>
      <c r="B36" s="87">
        <v>7</v>
      </c>
    </row>
  </sheetData>
  <mergeCells count="1">
    <mergeCell ref="A33:B33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14B7-30C9-41DA-9D5A-1ED95B537B71}">
  <dimension ref="A1:AP51"/>
  <sheetViews>
    <sheetView zoomScale="90" zoomScaleNormal="90" workbookViewId="0">
      <pane ySplit="2" topLeftCell="A36" activePane="bottomLeft" state="frozen"/>
      <selection activeCell="AD4" sqref="AD4"/>
      <selection pane="bottomLeft" activeCell="I48" sqref="I48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5.37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25" customWidth="1"/>
    <col min="21" max="21" width="9.25" customWidth="1"/>
    <col min="22" max="22" width="5.5" customWidth="1"/>
    <col min="23" max="23" width="5" customWidth="1"/>
    <col min="24" max="24" width="4.5" customWidth="1"/>
    <col min="25" max="25" width="4.125" customWidth="1"/>
    <col min="26" max="26" width="4.25" customWidth="1"/>
    <col min="27" max="27" width="4.875" customWidth="1"/>
    <col min="28" max="28" width="2.625" customWidth="1"/>
    <col min="29" max="30" width="4.375" customWidth="1"/>
    <col min="32" max="32" width="4.625" customWidth="1"/>
    <col min="33" max="33" width="7.25" customWidth="1"/>
    <col min="34" max="34" width="5.625" customWidth="1"/>
    <col min="35" max="35" width="4.375" customWidth="1"/>
    <col min="36" max="37" width="6.375" customWidth="1"/>
    <col min="38" max="38" width="3.75" customWidth="1"/>
    <col min="39" max="39" width="4.5" customWidth="1"/>
    <col min="40" max="40" width="4.125" customWidth="1"/>
    <col min="41" max="41" width="4.75" customWidth="1"/>
    <col min="42" max="42" width="9.5" customWidth="1"/>
  </cols>
  <sheetData>
    <row r="1" spans="1:42" ht="19.5" thickBot="1" x14ac:dyDescent="0.45">
      <c r="A1" s="229" t="s">
        <v>60</v>
      </c>
      <c r="B1" s="229"/>
      <c r="C1" s="230" t="s">
        <v>117</v>
      </c>
      <c r="D1" s="230"/>
      <c r="E1" s="230"/>
      <c r="F1" s="230"/>
      <c r="G1" s="230"/>
    </row>
    <row r="2" spans="1:42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46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T2" s="14"/>
      <c r="U2" s="14"/>
      <c r="V2" s="14"/>
    </row>
    <row r="3" spans="1:42" ht="19.5" thickBot="1" x14ac:dyDescent="0.45">
      <c r="A3" s="193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500</v>
      </c>
      <c r="R3" s="78">
        <f t="shared" ref="R3:R8" si="0">SUMIF($F$3:$F$42,Q3,$F$3:$F$42)</f>
        <v>0</v>
      </c>
      <c r="S3" s="73"/>
      <c r="T3" s="73"/>
      <c r="U3" s="73"/>
      <c r="V3" s="148" t="s">
        <v>50</v>
      </c>
      <c r="W3" s="17" t="s">
        <v>2</v>
      </c>
      <c r="X3" s="149" t="s">
        <v>6</v>
      </c>
      <c r="Y3" s="165" t="s">
        <v>54</v>
      </c>
      <c r="Z3" s="165" t="s">
        <v>53</v>
      </c>
      <c r="AA3" s="149" t="s">
        <v>95</v>
      </c>
      <c r="AB3" s="19"/>
      <c r="AC3" s="138" t="s">
        <v>98</v>
      </c>
      <c r="AD3" s="138" t="s">
        <v>100</v>
      </c>
      <c r="AF3" s="3" t="s">
        <v>8</v>
      </c>
      <c r="AG3" s="3" t="s">
        <v>1</v>
      </c>
      <c r="AH3" s="2" t="s">
        <v>2</v>
      </c>
      <c r="AI3" s="8" t="s">
        <v>3</v>
      </c>
      <c r="AJ3" s="8" t="s">
        <v>18</v>
      </c>
      <c r="AK3" s="8" t="s">
        <v>64</v>
      </c>
      <c r="AL3" s="8" t="s">
        <v>31</v>
      </c>
      <c r="AM3" s="8" t="s">
        <v>4</v>
      </c>
      <c r="AN3" s="9" t="s">
        <v>19</v>
      </c>
      <c r="AO3" s="8" t="s">
        <v>6</v>
      </c>
      <c r="AP3" s="2" t="s">
        <v>7</v>
      </c>
    </row>
    <row r="4" spans="1:42" ht="19.5" thickBot="1" x14ac:dyDescent="0.45">
      <c r="A4" s="193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600</v>
      </c>
      <c r="R4" s="42">
        <f t="shared" si="0"/>
        <v>0</v>
      </c>
      <c r="S4" s="73"/>
      <c r="T4" s="73"/>
      <c r="U4" s="73"/>
      <c r="V4" s="40" t="s">
        <v>9</v>
      </c>
      <c r="W4" s="52">
        <v>15</v>
      </c>
      <c r="X4" s="150" t="s">
        <v>32</v>
      </c>
      <c r="Y4" s="151" t="s">
        <v>78</v>
      </c>
      <c r="Z4" s="152" t="s">
        <v>20</v>
      </c>
      <c r="AA4" s="153"/>
      <c r="AB4" s="141"/>
      <c r="AC4" s="138" t="s">
        <v>99</v>
      </c>
      <c r="AD4" s="139" t="str">
        <f>HYPERLINK("#"&amp;AC4&amp;"!A1",AC4)</f>
        <v>月データ</v>
      </c>
      <c r="AF4" s="3" t="s">
        <v>68</v>
      </c>
      <c r="AG4" s="17" t="s">
        <v>9</v>
      </c>
      <c r="AH4" s="2">
        <v>15</v>
      </c>
      <c r="AI4" s="2" t="s">
        <v>16</v>
      </c>
      <c r="AJ4" s="194" t="s">
        <v>9</v>
      </c>
      <c r="AK4" s="195" t="s">
        <v>66</v>
      </c>
      <c r="AL4" s="11" t="s">
        <v>72</v>
      </c>
      <c r="AM4" s="2" t="s">
        <v>78</v>
      </c>
      <c r="AN4" s="11" t="s">
        <v>20</v>
      </c>
      <c r="AO4" s="2" t="s">
        <v>32</v>
      </c>
      <c r="AP4" s="71" t="s">
        <v>74</v>
      </c>
    </row>
    <row r="5" spans="1:42" ht="19.5" thickBot="1" x14ac:dyDescent="0.45">
      <c r="A5" s="193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800</v>
      </c>
      <c r="R5" s="42">
        <f t="shared" si="0"/>
        <v>0</v>
      </c>
      <c r="S5" s="73"/>
      <c r="T5" s="73"/>
      <c r="U5" s="73"/>
      <c r="V5" s="154">
        <f>COUNTIF($D$3:$D$42,V4)</f>
        <v>0</v>
      </c>
      <c r="W5" s="154">
        <f>COUNTIF($E$3:$E$42,W4)</f>
        <v>0</v>
      </c>
      <c r="X5" s="154">
        <f>COUNTIF($L$3:$L$42,AO4)</f>
        <v>0</v>
      </c>
      <c r="Y5" s="154">
        <f>COUNTIF($M$3:$M$42,Y4)</f>
        <v>0</v>
      </c>
      <c r="Z5" s="154">
        <f>COUNTIF($N$3:$N$42,Z4)</f>
        <v>0</v>
      </c>
      <c r="AA5" s="149" t="s">
        <v>96</v>
      </c>
      <c r="AB5" s="61"/>
      <c r="AC5" s="136">
        <v>1</v>
      </c>
      <c r="AD5" s="137">
        <f t="shared" ref="AD5:AD35" si="2">HYPERLINK("#"&amp;AC5&amp;"!A1",AC5)</f>
        <v>1</v>
      </c>
      <c r="AF5" s="3" t="s">
        <v>69</v>
      </c>
      <c r="AG5" s="17" t="s">
        <v>106</v>
      </c>
      <c r="AH5" s="2">
        <v>20</v>
      </c>
      <c r="AI5" s="3" t="s">
        <v>17</v>
      </c>
      <c r="AJ5" s="192">
        <v>0</v>
      </c>
      <c r="AK5" s="5">
        <v>300</v>
      </c>
      <c r="AM5" s="2" t="s">
        <v>76</v>
      </c>
      <c r="AN5" s="11" t="s">
        <v>21</v>
      </c>
      <c r="AO5" s="2" t="s">
        <v>44</v>
      </c>
      <c r="AP5" s="72" t="s">
        <v>75</v>
      </c>
    </row>
    <row r="6" spans="1:42" ht="19.5" thickBot="1" x14ac:dyDescent="0.45">
      <c r="A6" s="193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1500</v>
      </c>
      <c r="R6" s="42">
        <f t="shared" si="0"/>
        <v>0</v>
      </c>
      <c r="S6" s="73"/>
      <c r="T6" s="73"/>
      <c r="U6" s="73"/>
      <c r="V6" s="40" t="s">
        <v>105</v>
      </c>
      <c r="W6" s="52">
        <v>20</v>
      </c>
      <c r="X6" s="150" t="s">
        <v>44</v>
      </c>
      <c r="Y6" s="151" t="s">
        <v>76</v>
      </c>
      <c r="Z6" s="155" t="s">
        <v>21</v>
      </c>
      <c r="AA6" s="156"/>
      <c r="AB6" s="141"/>
      <c r="AC6" s="136">
        <v>2</v>
      </c>
      <c r="AD6" s="137">
        <f t="shared" si="2"/>
        <v>2</v>
      </c>
      <c r="AF6" s="3" t="s">
        <v>70</v>
      </c>
      <c r="AG6" s="17" t="s">
        <v>105</v>
      </c>
      <c r="AH6" s="2">
        <v>30</v>
      </c>
      <c r="AJ6" s="5">
        <v>500</v>
      </c>
      <c r="AK6" s="5">
        <v>500</v>
      </c>
      <c r="AM6" s="2" t="s">
        <v>77</v>
      </c>
      <c r="AO6" s="2">
        <v>2</v>
      </c>
      <c r="AP6" s="2" t="s">
        <v>114</v>
      </c>
    </row>
    <row r="7" spans="1:42" ht="19.5" thickBot="1" x14ac:dyDescent="0.45">
      <c r="A7" s="193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1600</v>
      </c>
      <c r="R7" s="42">
        <f t="shared" si="0"/>
        <v>0</v>
      </c>
      <c r="S7" s="73"/>
      <c r="T7" s="73"/>
      <c r="U7" s="73"/>
      <c r="V7" s="154">
        <f>COUNTIF($D$3:$D$42,V6)</f>
        <v>0</v>
      </c>
      <c r="W7" s="154">
        <f>COUNTIF($E$3:$E$42,W6)</f>
        <v>0</v>
      </c>
      <c r="X7" s="154">
        <f>COUNTIF($L$3:$L$42,AO5)</f>
        <v>0</v>
      </c>
      <c r="Y7" s="154">
        <f>COUNTIF($M$3:$M$42,Y6)</f>
        <v>0</v>
      </c>
      <c r="Z7" s="154">
        <f>COUNTIF($N$3:$N$42,Z6)</f>
        <v>0</v>
      </c>
      <c r="AA7" s="166" t="s">
        <v>97</v>
      </c>
      <c r="AB7" s="140"/>
      <c r="AC7" s="136">
        <v>3</v>
      </c>
      <c r="AD7" s="137">
        <f t="shared" si="2"/>
        <v>3</v>
      </c>
      <c r="AG7" s="149" t="s">
        <v>115</v>
      </c>
      <c r="AH7" s="2">
        <v>40</v>
      </c>
      <c r="AJ7" s="5">
        <v>600</v>
      </c>
      <c r="AK7" s="5">
        <v>800</v>
      </c>
      <c r="AM7" s="2" t="s">
        <v>22</v>
      </c>
      <c r="AO7" s="2">
        <v>3</v>
      </c>
    </row>
    <row r="8" spans="1:42" ht="19.5" thickBot="1" x14ac:dyDescent="0.45">
      <c r="A8" s="193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1800</v>
      </c>
      <c r="R8" s="42">
        <f t="shared" si="0"/>
        <v>0</v>
      </c>
      <c r="S8" s="73"/>
      <c r="T8" s="73"/>
      <c r="U8" s="73"/>
      <c r="V8" s="164" t="s">
        <v>115</v>
      </c>
      <c r="W8" s="52">
        <v>30</v>
      </c>
      <c r="X8" s="150">
        <v>2</v>
      </c>
      <c r="Y8" s="151" t="s">
        <v>77</v>
      </c>
      <c r="Z8" s="157"/>
      <c r="AA8" s="158"/>
      <c r="AB8" s="142"/>
      <c r="AC8" s="136">
        <v>4</v>
      </c>
      <c r="AD8" s="137">
        <f t="shared" si="2"/>
        <v>4</v>
      </c>
      <c r="AG8" s="17" t="s">
        <v>12</v>
      </c>
      <c r="AH8" s="2">
        <v>50</v>
      </c>
      <c r="AJ8" s="5">
        <v>800</v>
      </c>
      <c r="AM8" s="2" t="s">
        <v>23</v>
      </c>
      <c r="AO8" s="2">
        <v>4</v>
      </c>
    </row>
    <row r="9" spans="1:42" ht="19.5" thickBot="1" x14ac:dyDescent="0.45">
      <c r="A9" s="193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T9" s="64"/>
      <c r="U9" s="64"/>
      <c r="V9" s="154">
        <f>COUNTIF($D$3:$D$42,V8)</f>
        <v>0</v>
      </c>
      <c r="W9" s="154">
        <f>COUNTIF($E$3:$E$42,W8)</f>
        <v>0</v>
      </c>
      <c r="X9" s="154">
        <f>COUNTIF($L$3:$L$42,AO6)</f>
        <v>0</v>
      </c>
      <c r="Y9" s="154">
        <f>COUNTIF($M$3:$M$42,Y8)</f>
        <v>0</v>
      </c>
      <c r="Z9" s="157"/>
      <c r="AA9" s="157"/>
      <c r="AB9" s="14"/>
      <c r="AC9" s="136">
        <v>5</v>
      </c>
      <c r="AD9" s="137">
        <f t="shared" si="2"/>
        <v>5</v>
      </c>
      <c r="AG9" s="17" t="s">
        <v>13</v>
      </c>
      <c r="AH9" s="2">
        <v>60</v>
      </c>
      <c r="AJ9" s="191" t="s">
        <v>59</v>
      </c>
      <c r="AM9" s="2" t="s">
        <v>24</v>
      </c>
      <c r="AO9" s="2" t="s">
        <v>33</v>
      </c>
    </row>
    <row r="10" spans="1:42" ht="19.5" thickBot="1" x14ac:dyDescent="0.45">
      <c r="A10" s="193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V10" s="163" t="s">
        <v>12</v>
      </c>
      <c r="W10" s="52">
        <v>40</v>
      </c>
      <c r="X10" s="150">
        <v>3</v>
      </c>
      <c r="Y10" s="151" t="s">
        <v>22</v>
      </c>
      <c r="Z10" s="159"/>
      <c r="AA10" s="159"/>
      <c r="AC10" s="136">
        <v>6</v>
      </c>
      <c r="AD10" s="137">
        <f t="shared" si="2"/>
        <v>6</v>
      </c>
      <c r="AG10" s="149" t="s">
        <v>11</v>
      </c>
      <c r="AH10" s="2">
        <v>70</v>
      </c>
      <c r="AJ10" s="5">
        <v>1500</v>
      </c>
      <c r="AK10" s="45"/>
      <c r="AM10" s="2" t="s">
        <v>27</v>
      </c>
      <c r="AO10" s="5" t="s">
        <v>34</v>
      </c>
    </row>
    <row r="11" spans="1:42" ht="19.5" thickBot="1" x14ac:dyDescent="0.45">
      <c r="A11" s="193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V11" s="154">
        <f>COUNTIF($D$3:$D$42,V10)</f>
        <v>0</v>
      </c>
      <c r="W11" s="154">
        <f>COUNTIF($E$3:$E$42,W10)</f>
        <v>0</v>
      </c>
      <c r="X11" s="154">
        <f>COUNTIF($L$3:$L$42,AO7)</f>
        <v>0</v>
      </c>
      <c r="Y11" s="154">
        <f>COUNTIF($M$3:$M$42,Y10)</f>
        <v>0</v>
      </c>
      <c r="Z11" s="159"/>
      <c r="AA11" s="159"/>
      <c r="AC11" s="136">
        <v>7</v>
      </c>
      <c r="AD11" s="137">
        <f t="shared" si="2"/>
        <v>7</v>
      </c>
      <c r="AG11" s="149" t="s">
        <v>73</v>
      </c>
      <c r="AH11" s="2">
        <v>80</v>
      </c>
      <c r="AJ11" s="5">
        <v>1600</v>
      </c>
      <c r="AK11" s="45"/>
      <c r="AM11" s="2" t="s">
        <v>26</v>
      </c>
      <c r="AO11" s="5" t="s">
        <v>35</v>
      </c>
    </row>
    <row r="12" spans="1:42" ht="19.5" thickBot="1" x14ac:dyDescent="0.45">
      <c r="A12" s="193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2" si="3">SUMIF($G$3:$G$42,Q12,$G$3:$G$42)</f>
        <v>0</v>
      </c>
      <c r="S12" s="73"/>
      <c r="T12" s="73"/>
      <c r="U12" s="73"/>
      <c r="V12" s="164" t="s">
        <v>13</v>
      </c>
      <c r="W12" s="52">
        <v>50</v>
      </c>
      <c r="X12" s="150">
        <v>4</v>
      </c>
      <c r="Y12" s="151" t="s">
        <v>55</v>
      </c>
      <c r="Z12" s="159"/>
      <c r="AA12" s="159"/>
      <c r="AC12" s="136">
        <v>8</v>
      </c>
      <c r="AD12" s="137">
        <f t="shared" si="2"/>
        <v>8</v>
      </c>
      <c r="AH12" s="2">
        <v>90</v>
      </c>
      <c r="AJ12" s="5">
        <v>1800</v>
      </c>
      <c r="AK12" s="45"/>
      <c r="AM12" s="2" t="s">
        <v>28</v>
      </c>
      <c r="AO12" s="2" t="s">
        <v>36</v>
      </c>
    </row>
    <row r="13" spans="1:42" ht="19.5" thickBot="1" x14ac:dyDescent="0.45">
      <c r="A13" s="193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T13" s="73"/>
      <c r="U13" s="73"/>
      <c r="V13" s="154">
        <f>COUNTIF($D$3:$D$42,V12)</f>
        <v>0</v>
      </c>
      <c r="W13" s="154">
        <f>COUNTIF($E$3:$E$42,W12)</f>
        <v>0</v>
      </c>
      <c r="X13" s="154">
        <f>COUNTIF($L$3:$L$42,AO8)</f>
        <v>0</v>
      </c>
      <c r="Y13" s="154">
        <f>COUNTIF($M$3:$M$42,Y12)</f>
        <v>0</v>
      </c>
      <c r="Z13" s="159"/>
      <c r="AA13" s="159"/>
      <c r="AC13" s="136">
        <v>9</v>
      </c>
      <c r="AD13" s="137">
        <f t="shared" si="2"/>
        <v>9</v>
      </c>
      <c r="AJ13" s="191" t="s">
        <v>118</v>
      </c>
      <c r="AK13" s="45"/>
      <c r="AM13" s="2" t="s">
        <v>29</v>
      </c>
      <c r="AO13" s="8" t="s">
        <v>37</v>
      </c>
    </row>
    <row r="14" spans="1:42" ht="19.5" thickBot="1" x14ac:dyDescent="0.45">
      <c r="A14" s="193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T14" s="73"/>
      <c r="U14" s="73"/>
      <c r="V14" s="40" t="s">
        <v>11</v>
      </c>
      <c r="W14" s="52">
        <v>60</v>
      </c>
      <c r="X14" s="150" t="s">
        <v>33</v>
      </c>
      <c r="Y14" s="151" t="s">
        <v>56</v>
      </c>
      <c r="Z14" s="159"/>
      <c r="AA14" s="159"/>
      <c r="AC14" s="136">
        <v>10</v>
      </c>
      <c r="AD14" s="137">
        <f t="shared" si="2"/>
        <v>10</v>
      </c>
      <c r="AJ14" s="5">
        <v>1000</v>
      </c>
      <c r="AK14" s="45"/>
      <c r="AM14" s="2" t="s">
        <v>25</v>
      </c>
      <c r="AO14" s="12" t="s">
        <v>38</v>
      </c>
    </row>
    <row r="15" spans="1:42" ht="19.5" thickBot="1" x14ac:dyDescent="0.45">
      <c r="A15" s="193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T15" s="73"/>
      <c r="U15" s="73"/>
      <c r="V15" s="154">
        <f>COUNTIF($D$3:$D$42,V14)</f>
        <v>0</v>
      </c>
      <c r="W15" s="154">
        <f>COUNTIF($E$3:$E$42,W14)</f>
        <v>0</v>
      </c>
      <c r="X15" s="154">
        <f>COUNTIF($L$3:$L$42,AO9)</f>
        <v>0</v>
      </c>
      <c r="Y15" s="154">
        <f>COUNTIF($M$3:$M$42,Y14)</f>
        <v>0</v>
      </c>
      <c r="Z15" s="159"/>
      <c r="AA15" s="159"/>
      <c r="AC15" s="136">
        <v>11</v>
      </c>
      <c r="AD15" s="137">
        <f t="shared" si="2"/>
        <v>11</v>
      </c>
      <c r="AJ15" s="5">
        <v>2000</v>
      </c>
      <c r="AK15" s="45"/>
      <c r="AO15" s="8" t="s">
        <v>39</v>
      </c>
    </row>
    <row r="16" spans="1:42" ht="19.5" thickBot="1" x14ac:dyDescent="0.45">
      <c r="A16" s="193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T16" s="73"/>
      <c r="U16" s="73"/>
      <c r="V16" s="40" t="s">
        <v>106</v>
      </c>
      <c r="W16" s="52">
        <v>70</v>
      </c>
      <c r="X16" s="160" t="s">
        <v>34</v>
      </c>
      <c r="Y16" s="151" t="s">
        <v>27</v>
      </c>
      <c r="Z16" s="159"/>
      <c r="AA16" s="159"/>
      <c r="AC16" s="136">
        <v>12</v>
      </c>
      <c r="AD16" s="137">
        <f t="shared" si="2"/>
        <v>12</v>
      </c>
      <c r="AG16">
        <v>2800</v>
      </c>
      <c r="AH16">
        <v>30</v>
      </c>
      <c r="AJ16" s="5">
        <v>3000</v>
      </c>
      <c r="AK16" s="45"/>
      <c r="AO16" s="6" t="s">
        <v>40</v>
      </c>
    </row>
    <row r="17" spans="1:41" ht="19.5" thickBot="1" x14ac:dyDescent="0.45">
      <c r="A17" s="193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T17" s="73"/>
      <c r="U17" s="73"/>
      <c r="V17" s="154">
        <f>COUNTIF(D3:D42,V16)</f>
        <v>0</v>
      </c>
      <c r="W17" s="154">
        <f>COUNTIF($E$3:$E$42,W16)</f>
        <v>0</v>
      </c>
      <c r="X17" s="154">
        <f>COUNTIF($L$3:$L$42,AO10)</f>
        <v>0</v>
      </c>
      <c r="Y17" s="154">
        <f>COUNTIF($M$3:$M$42,Y16)</f>
        <v>0</v>
      </c>
      <c r="Z17" s="159"/>
      <c r="AA17" s="159"/>
      <c r="AC17" s="136">
        <v>13</v>
      </c>
      <c r="AD17" s="137">
        <f t="shared" si="2"/>
        <v>13</v>
      </c>
      <c r="AG17">
        <v>5500</v>
      </c>
      <c r="AH17">
        <v>60</v>
      </c>
      <c r="AJ17" s="5">
        <v>4000</v>
      </c>
      <c r="AK17" s="46"/>
      <c r="AO17" s="13" t="s">
        <v>41</v>
      </c>
    </row>
    <row r="18" spans="1:41" ht="19.5" thickBot="1" x14ac:dyDescent="0.45">
      <c r="A18" s="193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T18" s="73"/>
      <c r="U18" s="73"/>
      <c r="V18" s="159"/>
      <c r="W18" s="52">
        <v>80</v>
      </c>
      <c r="X18" s="150" t="s">
        <v>35</v>
      </c>
      <c r="Y18" s="151" t="s">
        <v>57</v>
      </c>
      <c r="Z18" s="159"/>
      <c r="AA18" s="159"/>
      <c r="AC18" s="136">
        <v>14</v>
      </c>
      <c r="AD18" s="137">
        <f t="shared" si="2"/>
        <v>14</v>
      </c>
      <c r="AG18">
        <v>7800</v>
      </c>
      <c r="AH18">
        <v>90</v>
      </c>
      <c r="AJ18" s="5">
        <v>5000</v>
      </c>
      <c r="AK18" s="45"/>
      <c r="AO18" s="8" t="s">
        <v>42</v>
      </c>
    </row>
    <row r="19" spans="1:41" ht="19.5" thickBot="1" x14ac:dyDescent="0.45">
      <c r="A19" s="193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T19" s="73"/>
      <c r="U19" s="73"/>
      <c r="V19" s="159"/>
      <c r="W19" s="154">
        <f>COUNTIF($E$3:$E$42,W18)</f>
        <v>0</v>
      </c>
      <c r="X19" s="154">
        <f>COUNTIF($L$3:$L$42,AO11)</f>
        <v>0</v>
      </c>
      <c r="Y19" s="154">
        <f>COUNTIF($M$3:$M$42,Y18)</f>
        <v>0</v>
      </c>
      <c r="Z19" s="159"/>
      <c r="AA19" s="159"/>
      <c r="AC19" s="136">
        <v>15</v>
      </c>
      <c r="AD19" s="137">
        <f t="shared" si="2"/>
        <v>15</v>
      </c>
      <c r="AJ19" s="5">
        <v>6000</v>
      </c>
      <c r="AK19" s="45"/>
      <c r="AO19" s="8" t="s">
        <v>43</v>
      </c>
    </row>
    <row r="20" spans="1:41" ht="19.5" thickBot="1" x14ac:dyDescent="0.45">
      <c r="A20" s="193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T20" s="73"/>
      <c r="U20" s="168"/>
      <c r="V20" s="159"/>
      <c r="W20" s="52">
        <v>90</v>
      </c>
      <c r="X20" s="150" t="s">
        <v>39</v>
      </c>
      <c r="Y20" s="151" t="s">
        <v>28</v>
      </c>
      <c r="Z20" s="159"/>
      <c r="AA20" s="159"/>
      <c r="AC20" s="136">
        <v>16</v>
      </c>
      <c r="AD20" s="137">
        <f t="shared" si="2"/>
        <v>16</v>
      </c>
      <c r="AJ20" s="5">
        <v>7000</v>
      </c>
      <c r="AK20" s="45"/>
    </row>
    <row r="21" spans="1:41" ht="19.5" thickBot="1" x14ac:dyDescent="0.45">
      <c r="A21" s="193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12000</v>
      </c>
      <c r="R21" s="42">
        <f t="shared" si="3"/>
        <v>0</v>
      </c>
      <c r="S21" s="73"/>
      <c r="T21" s="167" t="s">
        <v>101</v>
      </c>
      <c r="U21" s="5">
        <f>SUM(U22,U23)</f>
        <v>0</v>
      </c>
      <c r="V21" s="159"/>
      <c r="W21" s="154">
        <f>COUNTIF($E$3:$E$42,W20)</f>
        <v>0</v>
      </c>
      <c r="X21" s="154">
        <f>COUNTIF($L$3:$L$42,AO15)</f>
        <v>0</v>
      </c>
      <c r="Y21" s="154">
        <f>COUNTIF($M$3:$M$42,Y20)</f>
        <v>0</v>
      </c>
      <c r="Z21" s="159"/>
      <c r="AA21" s="159"/>
      <c r="AC21" s="136">
        <v>17</v>
      </c>
      <c r="AD21" s="137">
        <f t="shared" si="2"/>
        <v>17</v>
      </c>
      <c r="AJ21" s="5">
        <v>8000</v>
      </c>
      <c r="AK21" s="47"/>
    </row>
    <row r="22" spans="1:41" ht="19.5" thickBot="1" x14ac:dyDescent="0.45">
      <c r="A22" s="193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1600</v>
      </c>
      <c r="R22" s="42">
        <f t="shared" si="3"/>
        <v>0</v>
      </c>
      <c r="S22" s="73"/>
      <c r="T22" s="171" t="s">
        <v>102</v>
      </c>
      <c r="U22" s="5">
        <f>COUNTIFS($C$3:$C$42,AF4,$F$3:$F$42,"&gt;=0")</f>
        <v>0</v>
      </c>
      <c r="V22" s="159"/>
      <c r="W22" s="159"/>
      <c r="X22" s="150" t="s">
        <v>36</v>
      </c>
      <c r="Y22" s="161" t="s">
        <v>29</v>
      </c>
      <c r="Z22" s="159"/>
      <c r="AA22" s="159"/>
      <c r="AC22" s="136">
        <v>18</v>
      </c>
      <c r="AD22" s="137">
        <f t="shared" si="2"/>
        <v>18</v>
      </c>
      <c r="AJ22" s="5">
        <v>9000</v>
      </c>
      <c r="AK22" s="45"/>
    </row>
    <row r="23" spans="1:41" ht="19.5" thickBot="1" x14ac:dyDescent="0.45">
      <c r="A23" s="193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2600</v>
      </c>
      <c r="R23" s="42">
        <f t="shared" si="3"/>
        <v>0</v>
      </c>
      <c r="S23" s="73"/>
      <c r="T23" s="147" t="s">
        <v>108</v>
      </c>
      <c r="U23" s="5">
        <f>(COUNTIFS($C:$C,AF4,$D:$D,$AG$6))+(COUNTIFS($C:$C,AF4,$D:$D,$AG$7))+(COUNTIFS($C:$C,AF4,$D:$D,AG8))+(COUNTIFS($C:$C,AF4,$D:$D,AG9)+(COUNTIFS($C:$C,AF4,$D:$D,AG10)))</f>
        <v>0</v>
      </c>
      <c r="V23" s="159"/>
      <c r="W23" s="159"/>
      <c r="X23" s="154">
        <f>COUNTIF($L$3:$L$42,AO12)</f>
        <v>0</v>
      </c>
      <c r="Y23" s="162">
        <f>COUNTIF($M$3:$M$42,Y22)</f>
        <v>0</v>
      </c>
      <c r="Z23" s="159"/>
      <c r="AA23" s="159"/>
      <c r="AC23" s="136">
        <v>19</v>
      </c>
      <c r="AD23" s="137">
        <f t="shared" si="2"/>
        <v>19</v>
      </c>
      <c r="AJ23" s="5">
        <v>12000</v>
      </c>
      <c r="AK23" s="45"/>
    </row>
    <row r="24" spans="1:41" ht="19.5" thickBot="1" x14ac:dyDescent="0.45">
      <c r="A24" s="193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3600</v>
      </c>
      <c r="R24" s="42">
        <f t="shared" si="3"/>
        <v>0</v>
      </c>
      <c r="S24" s="73"/>
      <c r="T24" s="147" t="s">
        <v>109</v>
      </c>
      <c r="U24" s="41">
        <f>SUMIF($C:$C,AF4,$G:$G)</f>
        <v>0</v>
      </c>
      <c r="V24" s="159"/>
      <c r="W24" s="159"/>
      <c r="X24" s="150" t="s">
        <v>37</v>
      </c>
      <c r="Y24" s="161" t="s">
        <v>58</v>
      </c>
      <c r="Z24" s="159"/>
      <c r="AA24" s="159"/>
      <c r="AC24" s="136">
        <v>20</v>
      </c>
      <c r="AD24" s="137">
        <f t="shared" si="2"/>
        <v>20</v>
      </c>
      <c r="AJ24" s="199" t="s">
        <v>119</v>
      </c>
      <c r="AK24" s="48"/>
    </row>
    <row r="25" spans="1:41" ht="19.5" thickBot="1" x14ac:dyDescent="0.45">
      <c r="A25" s="193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4600</v>
      </c>
      <c r="R25" s="42">
        <f t="shared" si="3"/>
        <v>0</v>
      </c>
      <c r="S25" s="64"/>
      <c r="T25" s="146"/>
      <c r="V25" s="159"/>
      <c r="W25" s="159"/>
      <c r="X25" s="154">
        <f>COUNTIF($L$3:$L$42,AO13)</f>
        <v>0</v>
      </c>
      <c r="Y25" s="162">
        <f>COUNTIF($M$3:$M$42,Y24)</f>
        <v>0</v>
      </c>
      <c r="Z25" s="159"/>
      <c r="AA25" s="159"/>
      <c r="AC25" s="136">
        <v>21</v>
      </c>
      <c r="AD25" s="137">
        <f t="shared" si="2"/>
        <v>21</v>
      </c>
      <c r="AJ25" s="5">
        <v>1600</v>
      </c>
      <c r="AK25" s="45"/>
    </row>
    <row r="26" spans="1:41" ht="19.5" thickBot="1" x14ac:dyDescent="0.45">
      <c r="A26" s="193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5600</v>
      </c>
      <c r="R26" s="42">
        <f t="shared" si="3"/>
        <v>0</v>
      </c>
      <c r="T26" s="167" t="s">
        <v>103</v>
      </c>
      <c r="U26" s="5">
        <f>SUM(U27,U28)</f>
        <v>0</v>
      </c>
      <c r="V26" s="159"/>
      <c r="W26" s="159"/>
      <c r="X26" s="150" t="s">
        <v>38</v>
      </c>
      <c r="Y26" s="159"/>
      <c r="Z26" s="159"/>
      <c r="AA26" s="159"/>
      <c r="AC26" s="136">
        <v>22</v>
      </c>
      <c r="AD26" s="137">
        <f t="shared" si="2"/>
        <v>22</v>
      </c>
      <c r="AJ26" s="5">
        <v>2600</v>
      </c>
      <c r="AK26" s="45"/>
    </row>
    <row r="27" spans="1:41" ht="19.5" thickBot="1" x14ac:dyDescent="0.45">
      <c r="A27" s="193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6600</v>
      </c>
      <c r="R27" s="42">
        <f t="shared" si="3"/>
        <v>0</v>
      </c>
      <c r="T27" s="171" t="s">
        <v>102</v>
      </c>
      <c r="U27" s="5">
        <f>COUNTIFS($C$3:$C$42,AF5,$F$3:$F$42,"&gt;=0")</f>
        <v>0</v>
      </c>
      <c r="V27" s="159"/>
      <c r="W27" s="159"/>
      <c r="X27" s="154">
        <f>COUNTIF($L$3:$L$42,AO14)</f>
        <v>0</v>
      </c>
      <c r="Y27" s="159"/>
      <c r="Z27" s="159"/>
      <c r="AA27" s="159"/>
      <c r="AC27" s="136">
        <v>23</v>
      </c>
      <c r="AD27" s="137">
        <f t="shared" si="2"/>
        <v>23</v>
      </c>
      <c r="AJ27" s="5">
        <v>3600</v>
      </c>
      <c r="AK27" s="14"/>
    </row>
    <row r="28" spans="1:41" ht="19.5" thickBot="1" x14ac:dyDescent="0.45">
      <c r="A28" s="193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7600</v>
      </c>
      <c r="R28" s="42">
        <f t="shared" si="3"/>
        <v>0</v>
      </c>
      <c r="S28" s="73"/>
      <c r="T28" s="154" t="s">
        <v>110</v>
      </c>
      <c r="U28" s="5">
        <f>(COUNTIFS($C:$C,AF5,$D:$D,$AG$6))+(COUNTIFS($C:$C,AF5,$D:$D,$AG$7))+(COUNTIFS($C:$C,AF5,$D:$D,AG8))+(COUNTIFS($C:$C,AF5,$D:$D,AG9)+(COUNTIFS($C:$C,AF5,$D:$D,AG10)))</f>
        <v>0</v>
      </c>
      <c r="V28" s="159"/>
      <c r="W28" s="159"/>
      <c r="X28" s="160" t="s">
        <v>40</v>
      </c>
      <c r="Y28" s="159"/>
      <c r="Z28" s="159"/>
      <c r="AA28" s="159"/>
      <c r="AC28" s="136">
        <v>24</v>
      </c>
      <c r="AD28" s="137">
        <f t="shared" si="2"/>
        <v>24</v>
      </c>
      <c r="AJ28" s="5">
        <v>4600</v>
      </c>
      <c r="AK28" s="14"/>
    </row>
    <row r="29" spans="1:41" ht="19.5" thickBot="1" x14ac:dyDescent="0.45">
      <c r="A29" s="193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8600</v>
      </c>
      <c r="R29" s="42">
        <f t="shared" si="3"/>
        <v>0</v>
      </c>
      <c r="S29" s="73"/>
      <c r="T29" s="147" t="s">
        <v>67</v>
      </c>
      <c r="U29" s="41">
        <f>SUMIF($C:$C,AF5,$G:$G)</f>
        <v>0</v>
      </c>
      <c r="V29" s="159"/>
      <c r="W29" s="159"/>
      <c r="X29" s="154">
        <f>COUNTIF($L$3:$L$42,AO16)</f>
        <v>0</v>
      </c>
      <c r="Y29" s="159"/>
      <c r="Z29" s="159"/>
      <c r="AA29" s="159"/>
      <c r="AC29" s="136">
        <v>25</v>
      </c>
      <c r="AD29" s="137">
        <f t="shared" si="2"/>
        <v>25</v>
      </c>
      <c r="AJ29" s="5">
        <v>5600</v>
      </c>
    </row>
    <row r="30" spans="1:41" ht="19.5" thickBot="1" x14ac:dyDescent="0.45">
      <c r="A30" s="193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9600</v>
      </c>
      <c r="R30" s="42">
        <f t="shared" si="3"/>
        <v>0</v>
      </c>
      <c r="S30" s="73"/>
      <c r="V30" s="159"/>
      <c r="W30" s="159"/>
      <c r="X30" s="150" t="s">
        <v>41</v>
      </c>
      <c r="Y30" s="159"/>
      <c r="Z30" s="159"/>
      <c r="AA30" s="159"/>
      <c r="AC30" s="136">
        <v>26</v>
      </c>
      <c r="AD30" s="137">
        <f t="shared" si="2"/>
        <v>26</v>
      </c>
      <c r="AJ30" s="5">
        <v>6600</v>
      </c>
    </row>
    <row r="31" spans="1:41" ht="19.5" thickBot="1" x14ac:dyDescent="0.45">
      <c r="A31" s="193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2500</v>
      </c>
      <c r="R31" s="42">
        <f t="shared" si="3"/>
        <v>0</v>
      </c>
      <c r="S31" s="64"/>
      <c r="T31" s="167" t="s">
        <v>104</v>
      </c>
      <c r="U31" s="5">
        <f>SUM(U32,U33)</f>
        <v>0</v>
      </c>
      <c r="V31" s="159"/>
      <c r="W31" s="159"/>
      <c r="X31" s="154">
        <f>COUNTIF($L$3:$L$42,AO17)</f>
        <v>0</v>
      </c>
      <c r="Y31" s="159"/>
      <c r="Z31" s="159"/>
      <c r="AA31" s="159"/>
      <c r="AC31" s="136">
        <v>27</v>
      </c>
      <c r="AD31" s="137">
        <f t="shared" si="2"/>
        <v>27</v>
      </c>
      <c r="AJ31" s="5">
        <v>7600</v>
      </c>
    </row>
    <row r="32" spans="1:41" ht="19.5" thickBot="1" x14ac:dyDescent="0.45">
      <c r="A32" s="193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3800</v>
      </c>
      <c r="R32" s="42">
        <f t="shared" si="3"/>
        <v>0</v>
      </c>
      <c r="T32" s="171" t="s">
        <v>102</v>
      </c>
      <c r="U32" s="172">
        <f>COUNTIFS($C$3:$C$42,AF6,$F$3:$F$42,"&gt;=0")</f>
        <v>0</v>
      </c>
      <c r="V32" s="159"/>
      <c r="X32" s="150" t="s">
        <v>42</v>
      </c>
      <c r="Y32" s="159"/>
      <c r="Z32" s="159"/>
      <c r="AA32" s="159"/>
      <c r="AC32" s="136">
        <v>28</v>
      </c>
      <c r="AD32" s="137">
        <f t="shared" si="2"/>
        <v>28</v>
      </c>
      <c r="AJ32" s="5">
        <v>8600</v>
      </c>
    </row>
    <row r="33" spans="1:36" ht="19.5" thickBot="1" x14ac:dyDescent="0.45">
      <c r="A33" s="193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4500</v>
      </c>
      <c r="R33" s="41">
        <f>SUM(R12:R32)</f>
        <v>0</v>
      </c>
      <c r="T33" s="154" t="s">
        <v>110</v>
      </c>
      <c r="U33" s="5">
        <f>(COUNTIFS($C:$C,AF6,$D:$D,$AG$6))+(COUNTIFS($C:$C,AF6,$D:$D,$AG$7))+(COUNTIFS($C:$C,AF6,$D:$D,AG8))+(COUNTIFS($C:$C,AF6,$D:$D,AG9)+(COUNTIFS($C:$C,AF6,$D:$D,AG10)))</f>
        <v>0</v>
      </c>
      <c r="V33" s="159"/>
      <c r="X33" s="154">
        <f>COUNTIF($L$3:$L$42,AO18)</f>
        <v>0</v>
      </c>
      <c r="Y33" s="159"/>
      <c r="Z33" s="159"/>
      <c r="AA33" s="159"/>
      <c r="AC33" s="136">
        <v>29</v>
      </c>
      <c r="AD33" s="137">
        <f t="shared" si="2"/>
        <v>29</v>
      </c>
      <c r="AJ33" s="5">
        <v>9600</v>
      </c>
    </row>
    <row r="34" spans="1:36" ht="19.5" thickBot="1" x14ac:dyDescent="0.45">
      <c r="A34" s="193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SUM(R12:R33)</f>
        <v>0</v>
      </c>
      <c r="T34" s="147" t="s">
        <v>67</v>
      </c>
      <c r="U34" s="41">
        <f>SUMIF($C:$C,AF6,$G:$G)</f>
        <v>0</v>
      </c>
      <c r="X34" s="150" t="s">
        <v>43</v>
      </c>
      <c r="Y34" s="159"/>
      <c r="Z34" s="159"/>
      <c r="AA34" s="159"/>
      <c r="AC34" s="136">
        <v>30</v>
      </c>
      <c r="AD34" s="137">
        <f t="shared" si="2"/>
        <v>30</v>
      </c>
      <c r="AJ34" s="199" t="s">
        <v>119</v>
      </c>
    </row>
    <row r="35" spans="1:36" ht="19.5" thickBot="1" x14ac:dyDescent="0.45">
      <c r="A35" s="193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X35" s="154">
        <f>COUNTIF($L$3:$L$42,AO19)</f>
        <v>0</v>
      </c>
      <c r="Y35" s="159"/>
      <c r="Z35" s="159"/>
      <c r="AA35" s="159"/>
      <c r="AC35" s="136">
        <v>31</v>
      </c>
      <c r="AD35" s="137">
        <f t="shared" si="2"/>
        <v>31</v>
      </c>
      <c r="AJ35" s="5">
        <v>2500</v>
      </c>
    </row>
    <row r="36" spans="1:36" ht="19.5" thickBot="1" x14ac:dyDescent="0.45">
      <c r="A36" s="193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0" t="s">
        <v>46</v>
      </c>
      <c r="R36" s="73"/>
      <c r="S36" s="14"/>
      <c r="AJ36" s="5">
        <v>4500</v>
      </c>
    </row>
    <row r="37" spans="1:36" ht="19.5" thickBot="1" x14ac:dyDescent="0.45">
      <c r="A37" s="193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SUMIF($H$3:$H$42,Q38,$H$3:$H$42)</f>
        <v>0</v>
      </c>
      <c r="S37" s="65"/>
      <c r="T37" s="1" t="s">
        <v>49</v>
      </c>
      <c r="U37" s="169">
        <f>SUM(U38,U40)</f>
        <v>0</v>
      </c>
      <c r="AJ37" s="5">
        <v>3800</v>
      </c>
    </row>
    <row r="38" spans="1:36" ht="19.5" thickBot="1" x14ac:dyDescent="0.45">
      <c r="A38" s="193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SUMIF($H$3:$H$42,Q39,$H$3:$H$42)</f>
        <v>0</v>
      </c>
      <c r="S38" s="14"/>
      <c r="T38" s="1" t="s">
        <v>9</v>
      </c>
      <c r="U38" s="20">
        <f>COUNTIF($D$3:$D$42,T38)+COUNTIF($D$3:$D$42,AG5)</f>
        <v>0</v>
      </c>
    </row>
    <row r="39" spans="1:36" ht="19.5" thickBot="1" x14ac:dyDescent="0.45">
      <c r="A39" s="193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1">
        <f>SUM(R36:R38)</f>
        <v>0</v>
      </c>
      <c r="S39" s="65"/>
      <c r="T39" s="22" t="s">
        <v>61</v>
      </c>
      <c r="U39" s="30">
        <f>SUM(R3:R8)</f>
        <v>0</v>
      </c>
    </row>
    <row r="40" spans="1:36" ht="19.5" thickBot="1" x14ac:dyDescent="0.45">
      <c r="A40" s="193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3" t="s">
        <v>48</v>
      </c>
      <c r="R40" s="41">
        <f>SUM(R37:R39)</f>
        <v>0</v>
      </c>
      <c r="S40" s="65"/>
      <c r="T40" s="1" t="s">
        <v>50</v>
      </c>
      <c r="U40" s="170">
        <f>SUM(V40:V42:V40:V42)-W42</f>
        <v>0</v>
      </c>
      <c r="V40">
        <f>COUNTIFS($C$3:$C$42,AF4,G3:$G$42,"&gt;=0")</f>
        <v>0</v>
      </c>
    </row>
    <row r="41" spans="1:36" ht="19.5" thickBot="1" x14ac:dyDescent="0.45">
      <c r="A41" s="193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S41" s="65"/>
      <c r="T41" s="1" t="s">
        <v>62</v>
      </c>
      <c r="U41" s="31">
        <f>U44-U39</f>
        <v>0</v>
      </c>
      <c r="V41">
        <f>COUNTIFS($C$3:$C$42,AF5,G3:$G$42,"&gt;=0")</f>
        <v>0</v>
      </c>
    </row>
    <row r="42" spans="1:36" ht="19.5" thickBot="1" x14ac:dyDescent="0.45">
      <c r="A42" s="193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" t="s">
        <v>51</v>
      </c>
      <c r="U42" s="30">
        <f>(U44-U43)</f>
        <v>0</v>
      </c>
      <c r="V42">
        <f>COUNTIFS($C$3:$C$42,AF6,G3:$G$42,"&gt;=0")</f>
        <v>0</v>
      </c>
      <c r="W42" s="168">
        <f>COUNTIFS($D$3:$D$42,AG5,$G$3:$G$42,"&gt;=0")</f>
        <v>0</v>
      </c>
    </row>
    <row r="43" spans="1:36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T43" s="68" t="s">
        <v>71</v>
      </c>
      <c r="U43" s="30">
        <f>SUMIFS($I$3:$I$42,$J$3:$J$42,AL4)</f>
        <v>0</v>
      </c>
    </row>
    <row r="44" spans="1:36" ht="19.5" thickBot="1" x14ac:dyDescent="0.45">
      <c r="E44" s="205">
        <v>1</v>
      </c>
      <c r="F44" s="226"/>
      <c r="G44" s="228"/>
      <c r="H44" s="20"/>
      <c r="I44" s="206"/>
      <c r="J44" s="20"/>
      <c r="K44" s="206"/>
      <c r="L44" s="20"/>
      <c r="M44" s="206"/>
      <c r="N44" s="20"/>
      <c r="T44" s="69" t="s">
        <v>52</v>
      </c>
      <c r="U44" s="70">
        <f>SUM(I3:I42)</f>
        <v>0</v>
      </c>
    </row>
    <row r="45" spans="1:36" ht="19.5" thickBot="1" x14ac:dyDescent="0.45">
      <c r="E45" s="207">
        <v>2</v>
      </c>
      <c r="F45" s="226"/>
      <c r="G45" s="228"/>
      <c r="H45" s="1"/>
      <c r="I45" s="208"/>
      <c r="J45" s="1"/>
      <c r="K45" s="208"/>
      <c r="L45" s="1"/>
      <c r="M45" s="208"/>
      <c r="N45" s="1"/>
    </row>
    <row r="46" spans="1:36" ht="19.5" thickBot="1" x14ac:dyDescent="0.45">
      <c r="E46" s="209">
        <v>3</v>
      </c>
      <c r="F46" s="226"/>
      <c r="G46" s="228"/>
      <c r="H46" s="210"/>
      <c r="J46" s="210"/>
      <c r="L46" s="210"/>
      <c r="N46" s="210"/>
    </row>
    <row r="47" spans="1:36" ht="19.5" thickBot="1" x14ac:dyDescent="0.45">
      <c r="E47" s="207">
        <v>4</v>
      </c>
      <c r="F47" s="226"/>
      <c r="G47" s="228"/>
      <c r="H47" s="1"/>
      <c r="I47" s="208"/>
      <c r="J47" s="1"/>
      <c r="K47" s="208"/>
      <c r="L47" s="1"/>
      <c r="M47" s="208"/>
      <c r="N47" s="1"/>
    </row>
    <row r="48" spans="1:36" ht="19.5" thickBot="1" x14ac:dyDescent="0.45">
      <c r="E48" s="207">
        <v>5</v>
      </c>
      <c r="F48" s="226"/>
      <c r="G48" s="228"/>
      <c r="H48" s="1"/>
      <c r="I48" s="208"/>
      <c r="J48" s="1"/>
      <c r="K48" s="208"/>
      <c r="L48" s="1"/>
      <c r="M48" s="208"/>
      <c r="N48" s="1"/>
    </row>
    <row r="49" spans="5:14" ht="19.5" thickBot="1" x14ac:dyDescent="0.45">
      <c r="E49" s="211">
        <v>6</v>
      </c>
      <c r="F49" s="226"/>
      <c r="G49" s="228"/>
      <c r="H49" s="21"/>
      <c r="I49" s="212"/>
      <c r="J49" s="21"/>
      <c r="K49" s="212"/>
      <c r="L49" s="21"/>
      <c r="M49" s="212"/>
      <c r="N49" s="21"/>
    </row>
    <row r="50" spans="5:14" ht="19.5" thickBot="1" x14ac:dyDescent="0.45">
      <c r="I50" s="1">
        <f>SUM(I44:I49)</f>
        <v>0</v>
      </c>
    </row>
    <row r="51" spans="5:14" ht="19.5" thickBot="1" x14ac:dyDescent="0.45">
      <c r="I51" s="1">
        <f>I50/2</f>
        <v>0</v>
      </c>
    </row>
  </sheetData>
  <mergeCells count="8">
    <mergeCell ref="F47:G47"/>
    <mergeCell ref="F48:G48"/>
    <mergeCell ref="F49:G49"/>
    <mergeCell ref="A1:B1"/>
    <mergeCell ref="C1:G1"/>
    <mergeCell ref="F44:G44"/>
    <mergeCell ref="F45:G45"/>
    <mergeCell ref="F46:G46"/>
  </mergeCells>
  <phoneticPr fontId="1"/>
  <dataValidations count="17">
    <dataValidation type="list" allowBlank="1" showInputMessage="1" showErrorMessage="1" sqref="G3:G42" xr:uid="{42C8B773-8F44-494A-9DE3-236F607A90C0}">
      <formula1>$AJ$13:$AJ$37</formula1>
    </dataValidation>
    <dataValidation type="list" allowBlank="1" showInputMessage="1" showErrorMessage="1" sqref="E3:E42" xr:uid="{A73F66B4-6EFB-4CCF-944E-1A68E64A6F88}">
      <formula1>$AH$4:$AH$12</formula1>
    </dataValidation>
    <dataValidation type="list" allowBlank="1" showInputMessage="1" showErrorMessage="1" sqref="D3:D42" xr:uid="{5D39E479-819A-428D-9DDB-D624978C9B31}">
      <formula1>$AG$4:$AG$11</formula1>
    </dataValidation>
    <dataValidation type="list" allowBlank="1" showInputMessage="1" showErrorMessage="1" sqref="F3:F42" xr:uid="{BF7BCAFE-B067-454F-AFD4-0EC4D53D3D16}">
      <formula1>$AJ$4:$AJ$12</formula1>
    </dataValidation>
    <dataValidation type="list" allowBlank="1" showInputMessage="1" showErrorMessage="1" sqref="C3:C42" xr:uid="{AAEFFA61-B4E5-4548-9104-BB6E9CE2A696}">
      <formula1>$AF$4:$AF$6</formula1>
    </dataValidation>
    <dataValidation type="list" allowBlank="1" showInputMessage="1" showErrorMessage="1" sqref="K3:K42 K44:K49" xr:uid="{C11C268E-C748-423D-A3FE-E3FD5EE34055}">
      <formula1>$AI$4:$AI$5</formula1>
    </dataValidation>
    <dataValidation type="list" allowBlank="1" showInputMessage="1" showErrorMessage="1" sqref="N3:N42 N44:N49" xr:uid="{4942011D-ADD8-4E3B-A3B6-F2F8EF5FB8A7}">
      <formula1>$AN$4:$AN$5</formula1>
    </dataValidation>
    <dataValidation type="list" allowBlank="1" showInputMessage="1" showErrorMessage="1" sqref="L3:L42" xr:uid="{26351E9E-59B1-40AC-9CA7-D8227978346C}">
      <formula1>$AO$4:$AO$19</formula1>
    </dataValidation>
    <dataValidation type="list" allowBlank="1" showInputMessage="1" showErrorMessage="1" sqref="H3:H42" xr:uid="{DD9076DE-F3D5-4AA0-90A0-BA39B2A27169}">
      <formula1>$AK$4:$AK$7</formula1>
    </dataValidation>
    <dataValidation type="list" allowBlank="1" showInputMessage="1" showErrorMessage="1" sqref="J3:J42" xr:uid="{ABE4900A-FF37-4BF8-90C9-72CB0935383C}">
      <formula1>$AL$4:$AL$4</formula1>
    </dataValidation>
    <dataValidation type="list" allowBlank="1" showInputMessage="1" showErrorMessage="1" sqref="O3:O42" xr:uid="{258137EE-F375-4642-8AB0-55DC3A92B7B8}">
      <formula1>$AP$4:$AP$6</formula1>
    </dataValidation>
    <dataValidation type="list" allowBlank="1" showInputMessage="1" showErrorMessage="1" sqref="M3:M42" xr:uid="{0101B0FE-2926-4520-B26F-0B8EAC8DF538}">
      <formula1>$AM$4:$AM$14</formula1>
    </dataValidation>
    <dataValidation type="list" allowBlank="1" showInputMessage="1" showErrorMessage="1" sqref="J44:J49" xr:uid="{5FDC1093-7AC7-4211-9776-F0E57D0B9A68}">
      <formula1>$AL$4</formula1>
    </dataValidation>
    <dataValidation type="list" allowBlank="1" showInputMessage="1" showErrorMessage="1" sqref="L44:L49" xr:uid="{929305BE-8E27-4E72-9B32-403CEC6827E1}">
      <formula1>$AO$4:$AO$10</formula1>
    </dataValidation>
    <dataValidation type="list" allowBlank="1" showInputMessage="1" showErrorMessage="1" sqref="M44:M49" xr:uid="{67B09DF3-25D7-46EE-8DAE-61CF81A52DC8}">
      <formula1>$AM$5:$AM$14</formula1>
    </dataValidation>
    <dataValidation type="list" allowBlank="1" showInputMessage="1" showErrorMessage="1" sqref="I44:I49" xr:uid="{04792774-F173-46B5-A457-6357C2A3B1A7}">
      <formula1>$AG$16:$AG$18</formula1>
    </dataValidation>
    <dataValidation type="list" allowBlank="1" showInputMessage="1" showErrorMessage="1" sqref="H44:H49" xr:uid="{08C9EA78-9CE0-4D6F-ADD4-B6758046FF99}">
      <formula1>$AH$16:$AH$18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DA4-8926-4015-A35C-36562661E964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2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129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3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2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2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9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X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X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1">
        <f>SUM(R12:R32)</f>
        <v>0</v>
      </c>
      <c r="T33" s="41"/>
      <c r="U33" s="41">
        <f>SUM(U22:U32)</f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SUM(R12:R33)</f>
        <v>0</v>
      </c>
      <c r="T34" s="43" t="s">
        <v>48</v>
      </c>
      <c r="U34" s="41">
        <f>SUM(U22:U33)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0" t="s">
        <v>46</v>
      </c>
      <c r="R36" s="73"/>
      <c r="S36" s="14"/>
      <c r="AK36" s="199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SUMIF($H$3:$H$42,Q38,$H$3:$H$42)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SUMIF($H$3:$H$42,Q39,$H$3:$H$42)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4500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X42" s="168">
        <f>COUNTIFS($D$3:$D$42,AH5,$G$3:$G$42,"&gt;=0")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54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SUM(W40:W42:W40:W42)-X42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0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54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0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9691E21F-7626-40E8-8E0B-6400612FB625}">
      <formula1>$AN$4:$AN$14</formula1>
    </dataValidation>
    <dataValidation type="list" allowBlank="1" showInputMessage="1" showErrorMessage="1" sqref="J3:J42" xr:uid="{26B45C37-A808-4984-89F5-B3D956FD448C}">
      <formula1>$AM$4:$AM$4</formula1>
    </dataValidation>
    <dataValidation type="list" allowBlank="1" showInputMessage="1" showErrorMessage="1" sqref="L3:L42" xr:uid="{FA0B5B26-3963-4FAD-A58C-F9DD1EFEFF0E}">
      <formula1>$AP$4:$AP$19</formula1>
    </dataValidation>
    <dataValidation type="list" allowBlank="1" showInputMessage="1" showErrorMessage="1" sqref="N3:N42" xr:uid="{6D3969FD-AA2A-4045-AEAD-295BDDCBA5CF}">
      <formula1>$AO$4:$AO$5</formula1>
    </dataValidation>
    <dataValidation type="list" allowBlank="1" showInputMessage="1" showErrorMessage="1" sqref="K3:K42" xr:uid="{FE5984A6-0151-41B1-B632-258A833EA22C}">
      <formula1>$AJ$4:$AJ$5</formula1>
    </dataValidation>
    <dataValidation type="list" allowBlank="1" showInputMessage="1" showErrorMessage="1" sqref="C3:C42" xr:uid="{875A799E-0346-40C3-89F9-C54BE7BB6CBF}">
      <formula1>$AG$4:$AG$6</formula1>
    </dataValidation>
    <dataValidation type="list" allowBlank="1" showInputMessage="1" showErrorMessage="1" sqref="F3:F42" xr:uid="{DE8FA6CE-FE0F-43A0-911E-D1E0077EA59E}">
      <formula1>$AK$4:$AK$12</formula1>
    </dataValidation>
    <dataValidation type="list" allowBlank="1" showInputMessage="1" showErrorMessage="1" sqref="E3:E42" xr:uid="{97D1CF06-F530-4819-88E4-AC8465E6958D}">
      <formula1>$AI$4:$AI$12</formula1>
    </dataValidation>
    <dataValidation type="list" allowBlank="1" showInputMessage="1" showErrorMessage="1" sqref="H3:H42" xr:uid="{1A975080-0F4B-4AA3-9DF6-B5CC9D9EB29A}">
      <formula1>$AL$4:$AL$8</formula1>
    </dataValidation>
    <dataValidation type="list" allowBlank="1" showInputMessage="1" showErrorMessage="1" sqref="D3:D42" xr:uid="{3E7F4925-2663-4DAA-9696-F02BC0BB2354}">
      <formula1>$AH$4:$AH$12</formula1>
    </dataValidation>
    <dataValidation type="list" allowBlank="1" showInputMessage="1" showErrorMessage="1" sqref="O3:O42" xr:uid="{6AFCB134-ED1A-45AA-88BD-8130092B2820}">
      <formula1>$AQ$4:$AQ$9</formula1>
    </dataValidation>
    <dataValidation type="list" allowBlank="1" showInputMessage="1" showErrorMessage="1" sqref="G3:G42" xr:uid="{9E6084D2-2231-4AA1-892D-989B5D58D01E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4A27-36F3-4356-B074-704FCBAE09B0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130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7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33FACD0C-AFC9-4425-AA98-8159796F15EC}">
      <formula1>$AG$4:$AG$6</formula1>
    </dataValidation>
    <dataValidation type="list" allowBlank="1" showInputMessage="1" showErrorMessage="1" sqref="K3:K42" xr:uid="{AB9BC3F5-0BFB-4CA4-8082-6B58304A6CA5}">
      <formula1>$AJ$4:$AJ$5</formula1>
    </dataValidation>
    <dataValidation type="list" allowBlank="1" showInputMessage="1" showErrorMessage="1" sqref="N3:N42" xr:uid="{E2942151-28F7-43C8-8D3C-8E551FAD0E63}">
      <formula1>$AO$4:$AO$5</formula1>
    </dataValidation>
    <dataValidation type="list" allowBlank="1" showInputMessage="1" showErrorMessage="1" sqref="L3:L42" xr:uid="{C173622B-FEA7-4915-A197-2F7B4AB2DF14}">
      <formula1>$AP$4:$AP$19</formula1>
    </dataValidation>
    <dataValidation type="list" allowBlank="1" showInputMessage="1" showErrorMessage="1" sqref="J3:J42" xr:uid="{25AD50D1-46C7-4DA1-AB5A-CA39FE9C1AA7}">
      <formula1>$AM$4:$AM$4</formula1>
    </dataValidation>
    <dataValidation type="list" allowBlank="1" showInputMessage="1" showErrorMessage="1" sqref="M3:M42" xr:uid="{20D1B45D-6E99-41B5-8E4C-708E3EA0844E}">
      <formula1>$AN$4:$AN$14</formula1>
    </dataValidation>
    <dataValidation type="list" allowBlank="1" showInputMessage="1" showErrorMessage="1" sqref="F3:F42" xr:uid="{5DA16252-A1BA-48C4-9147-DFB2314FF8CB}">
      <formula1>$AK$4:$AK$12</formula1>
    </dataValidation>
    <dataValidation type="list" allowBlank="1" showInputMessage="1" showErrorMessage="1" sqref="E3:E42" xr:uid="{14E062FE-0108-4D70-A770-943DCDC96169}">
      <formula1>$AI$4:$AI$12</formula1>
    </dataValidation>
    <dataValidation type="list" allowBlank="1" showInputMessage="1" showErrorMessage="1" sqref="H3:H42" xr:uid="{ACE99C02-3F2D-4B0D-921F-42EDFAF3EF10}">
      <formula1>$AL$4:$AL$8</formula1>
    </dataValidation>
    <dataValidation type="list" allowBlank="1" showInputMessage="1" showErrorMessage="1" sqref="D3:D42" xr:uid="{C138D5F4-0F47-4077-9AAE-7050471C988A}">
      <formula1>$AH$4:$AH$12</formula1>
    </dataValidation>
    <dataValidation type="list" allowBlank="1" showInputMessage="1" showErrorMessage="1" sqref="O3:O42" xr:uid="{4BA55C5F-8653-4BD0-B652-68AB6D151BCB}">
      <formula1>$AQ$4:$AQ$9</formula1>
    </dataValidation>
    <dataValidation type="list" allowBlank="1" showInputMessage="1" showErrorMessage="1" sqref="G3:G42" xr:uid="{93CB8149-2CD8-4E8E-A0F1-75BC32863EB0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078E-40D0-4330-8C75-9288C0DE5A80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131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60BF65E1-082D-4553-951F-D14A21DBA8F6}">
      <formula1>$AN$4:$AN$14</formula1>
    </dataValidation>
    <dataValidation type="list" allowBlank="1" showInputMessage="1" showErrorMessage="1" sqref="J3:J42" xr:uid="{EBA6673A-E3C8-4D2C-85E9-D0DE6DE21E17}">
      <formula1>$AM$4:$AM$4</formula1>
    </dataValidation>
    <dataValidation type="list" allowBlank="1" showInputMessage="1" showErrorMessage="1" sqref="L3:L42" xr:uid="{5D9601A9-E664-4738-99FB-F3D74FDF5620}">
      <formula1>$AP$4:$AP$19</formula1>
    </dataValidation>
    <dataValidation type="list" allowBlank="1" showInputMessage="1" showErrorMessage="1" sqref="N3:N42" xr:uid="{D21F7721-F975-4683-A28F-AAA1FA8BC8C7}">
      <formula1>$AO$4:$AO$5</formula1>
    </dataValidation>
    <dataValidation type="list" allowBlank="1" showInputMessage="1" showErrorMessage="1" sqref="K3:K42" xr:uid="{6E389212-1961-46B5-979B-96901CB2B3A2}">
      <formula1>$AJ$4:$AJ$5</formula1>
    </dataValidation>
    <dataValidation type="list" allowBlank="1" showInputMessage="1" showErrorMessage="1" sqref="C3:C42" xr:uid="{5E45CFA9-86BA-4DAA-895C-3EB3EC78454C}">
      <formula1>$AG$4:$AG$6</formula1>
    </dataValidation>
    <dataValidation type="list" allowBlank="1" showInputMessage="1" showErrorMessage="1" sqref="F3:F42" xr:uid="{2BBEA232-E05F-4F57-9C37-2717414E1760}">
      <formula1>$AK$4:$AK$12</formula1>
    </dataValidation>
    <dataValidation type="list" allowBlank="1" showInputMessage="1" showErrorMessage="1" sqref="E3:E42" xr:uid="{A1F244FE-B77E-4D2D-BC58-20B60D8DBB00}">
      <formula1>$AI$4:$AI$12</formula1>
    </dataValidation>
    <dataValidation type="list" allowBlank="1" showInputMessage="1" showErrorMessage="1" sqref="H3:H42" xr:uid="{2D4B0F42-E5AB-4E55-A6EB-14C73CC732B2}">
      <formula1>$AL$4:$AL$8</formula1>
    </dataValidation>
    <dataValidation type="list" allowBlank="1" showInputMessage="1" showErrorMessage="1" sqref="D3:D42" xr:uid="{9451FB90-5D93-446F-8B35-E43BA0712EBC}">
      <formula1>$AH$4:$AH$12</formula1>
    </dataValidation>
    <dataValidation type="list" allowBlank="1" showInputMessage="1" showErrorMessage="1" sqref="O3:O42" xr:uid="{1E341E5E-A7C8-4673-9635-65D200C12FC5}">
      <formula1>$AQ$4:$AQ$9</formula1>
    </dataValidation>
    <dataValidation type="list" allowBlank="1" showInputMessage="1" showErrorMessage="1" sqref="G3:G42" xr:uid="{F827CA33-3820-4BFA-AF15-2A3330B20CEC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6510-B841-40E8-9C88-458E9ACD4666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132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DA6A3C78-3067-4FF1-96EE-9D9B20A2722B}">
      <formula1>$AG$4:$AG$6</formula1>
    </dataValidation>
    <dataValidation type="list" allowBlank="1" showInputMessage="1" showErrorMessage="1" sqref="K3:K42" xr:uid="{D1BCEBCF-4C4C-49F8-823F-DA35876A0CFA}">
      <formula1>$AJ$4:$AJ$5</formula1>
    </dataValidation>
    <dataValidation type="list" allowBlank="1" showInputMessage="1" showErrorMessage="1" sqref="N3:N42" xr:uid="{0669021B-469D-493D-A79D-54AE74757CF4}">
      <formula1>$AO$4:$AO$5</formula1>
    </dataValidation>
    <dataValidation type="list" allowBlank="1" showInputMessage="1" showErrorMessage="1" sqref="L3:L42" xr:uid="{0DBC6CC6-4AD2-4241-8C2E-D92C904E2AE7}">
      <formula1>$AP$4:$AP$19</formula1>
    </dataValidation>
    <dataValidation type="list" allowBlank="1" showInputMessage="1" showErrorMessage="1" sqref="J3:J42" xr:uid="{A3FCC391-969E-4F6F-B664-16281BDD70A0}">
      <formula1>$AM$4:$AM$4</formula1>
    </dataValidation>
    <dataValidation type="list" allowBlank="1" showInputMessage="1" showErrorMessage="1" sqref="M3:M42" xr:uid="{ED5BA383-B1A8-4872-9714-A7237B8F6AA4}">
      <formula1>$AN$4:$AN$14</formula1>
    </dataValidation>
    <dataValidation type="list" allowBlank="1" showInputMessage="1" showErrorMessage="1" sqref="F3:F42" xr:uid="{9FF37B3D-514C-4FDA-9990-C17199086300}">
      <formula1>$AK$4:$AK$12</formula1>
    </dataValidation>
    <dataValidation type="list" allowBlank="1" showInputMessage="1" showErrorMessage="1" sqref="E3:E42" xr:uid="{01E95680-4E86-4191-955C-0BE3F10D7FA7}">
      <formula1>$AI$4:$AI$12</formula1>
    </dataValidation>
    <dataValidation type="list" allowBlank="1" showInputMessage="1" showErrorMessage="1" sqref="H3:H42" xr:uid="{38111E83-EB6E-4213-8ADD-A785E201D115}">
      <formula1>$AL$4:$AL$8</formula1>
    </dataValidation>
    <dataValidation type="list" allowBlank="1" showInputMessage="1" showErrorMessage="1" sqref="D3:D42" xr:uid="{631E2306-6D35-4F4B-9C65-294129F459A6}">
      <formula1>$AH$4:$AH$12</formula1>
    </dataValidation>
    <dataValidation type="list" allowBlank="1" showInputMessage="1" showErrorMessage="1" sqref="O3:O42" xr:uid="{39D4F02C-AC65-44C9-B19C-405D63B34296}">
      <formula1>$AQ$4:$AQ$9</formula1>
    </dataValidation>
    <dataValidation type="list" allowBlank="1" showInputMessage="1" showErrorMessage="1" sqref="G3:G42" xr:uid="{6EF9A441-8797-45D8-9552-B7250F4DB13E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027C-316C-4936-B6DB-4397C29EBFB0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133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B73C6544-4239-43C5-9CC7-6148C37E3D93}">
      <formula1>$AN$4:$AN$14</formula1>
    </dataValidation>
    <dataValidation type="list" allowBlank="1" showInputMessage="1" showErrorMessage="1" sqref="J3:J42" xr:uid="{4AC96493-246F-4715-AB42-B9160C0907C1}">
      <formula1>$AM$4:$AM$4</formula1>
    </dataValidation>
    <dataValidation type="list" allowBlank="1" showInputMessage="1" showErrorMessage="1" sqref="L3:L42" xr:uid="{13440F0F-F027-4B1B-A3B9-B1B6C1C15F4B}">
      <formula1>$AP$4:$AP$19</formula1>
    </dataValidation>
    <dataValidation type="list" allowBlank="1" showInputMessage="1" showErrorMessage="1" sqref="N3:N42" xr:uid="{58E0C04C-8A2F-4470-B442-219C672AA0DA}">
      <formula1>$AO$4:$AO$5</formula1>
    </dataValidation>
    <dataValidation type="list" allowBlank="1" showInputMessage="1" showErrorMessage="1" sqref="K3:K42" xr:uid="{F3D9C092-B149-4328-A051-2E1D2B0417A7}">
      <formula1>$AJ$4:$AJ$5</formula1>
    </dataValidation>
    <dataValidation type="list" allowBlank="1" showInputMessage="1" showErrorMessage="1" sqref="C3:C42" xr:uid="{574A5C22-C678-4CC5-9FEB-8DD412FD9A9F}">
      <formula1>$AG$4:$AG$6</formula1>
    </dataValidation>
    <dataValidation type="list" allowBlank="1" showInputMessage="1" showErrorMessage="1" sqref="F3:F42" xr:uid="{9A600CA0-5AFB-4B7C-810A-2317424F280D}">
      <formula1>$AK$4:$AK$12</formula1>
    </dataValidation>
    <dataValidation type="list" allowBlank="1" showInputMessage="1" showErrorMessage="1" sqref="E3:E42" xr:uid="{CE5986C8-7C97-4BF9-AD37-9C25DA3A7CA9}">
      <formula1>$AI$4:$AI$12</formula1>
    </dataValidation>
    <dataValidation type="list" allowBlank="1" showInputMessage="1" showErrorMessage="1" sqref="H3:H42" xr:uid="{B5A52BF7-B827-4E2B-8F0B-B686ACD912DF}">
      <formula1>$AL$4:$AL$8</formula1>
    </dataValidation>
    <dataValidation type="list" allowBlank="1" showInputMessage="1" showErrorMessage="1" sqref="D3:D42" xr:uid="{3E9DA472-C06B-4919-8F80-6DFDE8DC03AC}">
      <formula1>$AH$4:$AH$12</formula1>
    </dataValidation>
    <dataValidation type="list" allowBlank="1" showInputMessage="1" showErrorMessage="1" sqref="O3:O42" xr:uid="{FB9DB7F0-8D3E-4E15-A1AA-D0A689375C03}">
      <formula1>$AQ$4:$AQ$9</formula1>
    </dataValidation>
    <dataValidation type="list" allowBlank="1" showInputMessage="1" showErrorMessage="1" sqref="G3:G42" xr:uid="{6C6F1630-DC24-4276-BDEF-41CB27656FA1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7595-3109-4948-BF26-5268CD055D79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134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55BC711C-89B6-4EE1-B3B8-76E9D5F68225}">
      <formula1>$AN$4:$AN$14</formula1>
    </dataValidation>
    <dataValidation type="list" allowBlank="1" showInputMessage="1" showErrorMessage="1" sqref="J3:J42" xr:uid="{49FA56B8-1EA8-45D0-AC79-ED4075EB35B7}">
      <formula1>$AM$4:$AM$4</formula1>
    </dataValidation>
    <dataValidation type="list" allowBlank="1" showInputMessage="1" showErrorMessage="1" sqref="L3:L42" xr:uid="{0386148F-E364-4585-BF6F-A2C048DF691A}">
      <formula1>$AP$4:$AP$19</formula1>
    </dataValidation>
    <dataValidation type="list" allowBlank="1" showInputMessage="1" showErrorMessage="1" sqref="N3:N42" xr:uid="{1F73A3F3-576E-4510-BF52-63FFE9E26216}">
      <formula1>$AO$4:$AO$5</formula1>
    </dataValidation>
    <dataValidation type="list" allowBlank="1" showInputMessage="1" showErrorMessage="1" sqref="K3:K42" xr:uid="{0F227DDF-2BF4-4B6E-BAA7-293B846D612E}">
      <formula1>$AJ$4:$AJ$5</formula1>
    </dataValidation>
    <dataValidation type="list" allowBlank="1" showInputMessage="1" showErrorMessage="1" sqref="C3:C42" xr:uid="{ACF889CD-5438-47FA-B98A-CE88882F71C7}">
      <formula1>$AG$4:$AG$6</formula1>
    </dataValidation>
    <dataValidation type="list" allowBlank="1" showInputMessage="1" showErrorMessage="1" sqref="F3:F42" xr:uid="{E50E69A8-A666-4B65-A733-CFF1C1E418A1}">
      <formula1>$AK$4:$AK$12</formula1>
    </dataValidation>
    <dataValidation type="list" allowBlank="1" showInputMessage="1" showErrorMessage="1" sqref="E3:E42" xr:uid="{1489F1E3-0555-47B1-AE66-3BD3C43B6C38}">
      <formula1>$AI$4:$AI$12</formula1>
    </dataValidation>
    <dataValidation type="list" allowBlank="1" showInputMessage="1" showErrorMessage="1" sqref="H3:H42" xr:uid="{338D7107-4E59-441B-BA43-2048ADDCC27F}">
      <formula1>$AL$4:$AL$8</formula1>
    </dataValidation>
    <dataValidation type="list" allowBlank="1" showInputMessage="1" showErrorMessage="1" sqref="D3:D42" xr:uid="{EF144081-6986-4584-97DF-7CA9595911E6}">
      <formula1>$AH$4:$AH$12</formula1>
    </dataValidation>
    <dataValidation type="list" allowBlank="1" showInputMessage="1" showErrorMessage="1" sqref="O3:O42" xr:uid="{0B2A3EAE-1CE2-428F-9D2A-B0469643B4E5}">
      <formula1>$AQ$4:$AQ$9</formula1>
    </dataValidation>
    <dataValidation type="list" allowBlank="1" showInputMessage="1" showErrorMessage="1" sqref="G3:G42" xr:uid="{163C80F8-564A-4335-89FF-0B794724DAF4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DADF-0D7D-455C-B2DC-7260D6CE63E5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135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107DCE01-ADFC-4318-AE02-68288BE9EA90}">
      <formula1>$AG$4:$AG$6</formula1>
    </dataValidation>
    <dataValidation type="list" allowBlank="1" showInputMessage="1" showErrorMessage="1" sqref="K3:K42" xr:uid="{B72DEAEC-24A4-4947-8D80-C398552629A0}">
      <formula1>$AJ$4:$AJ$5</formula1>
    </dataValidation>
    <dataValidation type="list" allowBlank="1" showInputMessage="1" showErrorMessage="1" sqref="N3:N42" xr:uid="{01EF1E1C-FE61-4CEF-A9CD-6C6FCC62A73B}">
      <formula1>$AO$4:$AO$5</formula1>
    </dataValidation>
    <dataValidation type="list" allowBlank="1" showInputMessage="1" showErrorMessage="1" sqref="L3:L42" xr:uid="{4B6D33F6-01A9-4B80-AF3E-139921775EB3}">
      <formula1>$AP$4:$AP$19</formula1>
    </dataValidation>
    <dataValidation type="list" allowBlank="1" showInputMessage="1" showErrorMessage="1" sqref="J3:J42" xr:uid="{8BCD66B3-4736-4250-B589-4721D89B3A14}">
      <formula1>$AM$4:$AM$4</formula1>
    </dataValidation>
    <dataValidation type="list" allowBlank="1" showInputMessage="1" showErrorMessage="1" sqref="M3:M42" xr:uid="{68760834-CAD1-43C5-B62D-4219A118BB44}">
      <formula1>$AN$4:$AN$14</formula1>
    </dataValidation>
    <dataValidation type="list" allowBlank="1" showInputMessage="1" showErrorMessage="1" sqref="F3:F42" xr:uid="{37670BB7-745D-48D4-8C81-ACF4C858F58D}">
      <formula1>$AK$4:$AK$12</formula1>
    </dataValidation>
    <dataValidation type="list" allowBlank="1" showInputMessage="1" showErrorMessage="1" sqref="E3:E42" xr:uid="{6E10562F-9FDB-47CE-878E-B019FF07778B}">
      <formula1>$AI$4:$AI$12</formula1>
    </dataValidation>
    <dataValidation type="list" allowBlank="1" showInputMessage="1" showErrorMessage="1" sqref="H3:H42" xr:uid="{32D94227-AE03-4BAD-9D1D-0080732FDD26}">
      <formula1>$AL$4:$AL$8</formula1>
    </dataValidation>
    <dataValidation type="list" allowBlank="1" showInputMessage="1" showErrorMessage="1" sqref="D3:D42" xr:uid="{DE4D6D5E-0A43-458D-9B0A-5C97B4BEC843}">
      <formula1>$AH$4:$AH$12</formula1>
    </dataValidation>
    <dataValidation type="list" allowBlank="1" showInputMessage="1" showErrorMessage="1" sqref="O3:O42" xr:uid="{B3F4D876-3BCF-42AF-8403-785CE84C8A52}">
      <formula1>$AQ$4:$AQ$9</formula1>
    </dataValidation>
    <dataValidation type="list" allowBlank="1" showInputMessage="1" showErrorMessage="1" sqref="G3:G42" xr:uid="{B02670E2-5DED-4AFD-9D4A-2DCAE2123861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C589-A2E8-4FBD-9851-B49E85CA1F4E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136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55CC4A30-F17E-4C66-B53A-AD0599399868}">
      <formula1>$AN$4:$AN$14</formula1>
    </dataValidation>
    <dataValidation type="list" allowBlank="1" showInputMessage="1" showErrorMessage="1" sqref="J3:J42" xr:uid="{015A8B6F-C145-4A58-90A4-0A45E2C08F9B}">
      <formula1>$AM$4:$AM$4</formula1>
    </dataValidation>
    <dataValidation type="list" allowBlank="1" showInputMessage="1" showErrorMessage="1" sqref="L3:L42" xr:uid="{D3106C9E-E177-4AF4-BE68-7D7EB0198F32}">
      <formula1>$AP$4:$AP$19</formula1>
    </dataValidation>
    <dataValidation type="list" allowBlank="1" showInputMessage="1" showErrorMessage="1" sqref="N3:N42" xr:uid="{3A79C5C1-BC01-4E66-BDA6-D028DC848B62}">
      <formula1>$AO$4:$AO$5</formula1>
    </dataValidation>
    <dataValidation type="list" allowBlank="1" showInputMessage="1" showErrorMessage="1" sqref="K3:K42" xr:uid="{141B35B4-9029-4B31-99FD-D998A2A59584}">
      <formula1>$AJ$4:$AJ$5</formula1>
    </dataValidation>
    <dataValidation type="list" allowBlank="1" showInputMessage="1" showErrorMessage="1" sqref="C3:C42" xr:uid="{0115DE9A-D756-41E9-917D-061F6DD6356C}">
      <formula1>$AG$4:$AG$6</formula1>
    </dataValidation>
    <dataValidation type="list" allowBlank="1" showInputMessage="1" showErrorMessage="1" sqref="F3:F42" xr:uid="{4BA44FF9-9266-4A53-9609-2F1BDFA2485B}">
      <formula1>$AK$4:$AK$12</formula1>
    </dataValidation>
    <dataValidation type="list" allowBlank="1" showInputMessage="1" showErrorMessage="1" sqref="E3:E42" xr:uid="{D1944C30-BC00-49D1-ACA5-C28884DEC41A}">
      <formula1>$AI$4:$AI$12</formula1>
    </dataValidation>
    <dataValidation type="list" allowBlank="1" showInputMessage="1" showErrorMessage="1" sqref="H3:H42" xr:uid="{9BF8C200-CEAB-4E27-B62A-1BC7E8B1C895}">
      <formula1>$AL$4:$AL$8</formula1>
    </dataValidation>
    <dataValidation type="list" allowBlank="1" showInputMessage="1" showErrorMessage="1" sqref="D3:D42" xr:uid="{AF43283C-E32C-4476-8614-4DC971DCFC75}">
      <formula1>$AH$4:$AH$12</formula1>
    </dataValidation>
    <dataValidation type="list" allowBlank="1" showInputMessage="1" showErrorMessage="1" sqref="O3:O42" xr:uid="{00514BB8-5F44-4A01-969D-10A805E06B11}">
      <formula1>$AQ$4:$AQ$9</formula1>
    </dataValidation>
    <dataValidation type="list" allowBlank="1" showInputMessage="1" showErrorMessage="1" sqref="G3:G42" xr:uid="{9119D943-D1BB-420E-A8B2-01C42565D3D6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4C27-D073-42AB-B275-18656FDE7FFF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137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17491563-8F8F-4938-965A-2CE9EC164EBA}">
      <formula1>$AG$4:$AG$6</formula1>
    </dataValidation>
    <dataValidation type="list" allowBlank="1" showInputMessage="1" showErrorMessage="1" sqref="K3:K42" xr:uid="{DFA94A96-030D-46CC-BB89-1A2AD069DD7F}">
      <formula1>$AJ$4:$AJ$5</formula1>
    </dataValidation>
    <dataValidation type="list" allowBlank="1" showInputMessage="1" showErrorMessage="1" sqref="N3:N42" xr:uid="{AE0CDA63-E50B-47C7-A58C-DEDCA85C445A}">
      <formula1>$AO$4:$AO$5</formula1>
    </dataValidation>
    <dataValidation type="list" allowBlank="1" showInputMessage="1" showErrorMessage="1" sqref="L3:L42" xr:uid="{2992A8F3-192C-4BD0-9E7D-F87885FBBEA8}">
      <formula1>$AP$4:$AP$19</formula1>
    </dataValidation>
    <dataValidation type="list" allowBlank="1" showInputMessage="1" showErrorMessage="1" sqref="J3:J42" xr:uid="{E1D56694-8B1D-49C7-BA6C-39B5B2669678}">
      <formula1>$AM$4:$AM$4</formula1>
    </dataValidation>
    <dataValidation type="list" allowBlank="1" showInputMessage="1" showErrorMessage="1" sqref="M3:M42" xr:uid="{1512D1D5-932B-43D3-979B-173AB9D54E01}">
      <formula1>$AN$4:$AN$14</formula1>
    </dataValidation>
    <dataValidation type="list" allowBlank="1" showInputMessage="1" showErrorMessage="1" sqref="F3:F42" xr:uid="{C1967904-F971-438B-8B87-D96ABA40F531}">
      <formula1>$AK$4:$AK$12</formula1>
    </dataValidation>
    <dataValidation type="list" allowBlank="1" showInputMessage="1" showErrorMessage="1" sqref="E3:E42" xr:uid="{23D3223C-EC84-4518-9C40-63169E039A03}">
      <formula1>$AI$4:$AI$12</formula1>
    </dataValidation>
    <dataValidation type="list" allowBlank="1" showInputMessage="1" showErrorMessage="1" sqref="H3:H42" xr:uid="{5321417B-A924-44F4-A88E-3F3A5255F576}">
      <formula1>$AL$4:$AL$8</formula1>
    </dataValidation>
    <dataValidation type="list" allowBlank="1" showInputMessage="1" showErrorMessage="1" sqref="D3:D42" xr:uid="{4D5584B6-3F99-4DF2-B93D-65623794ADB2}">
      <formula1>$AH$4:$AH$12</formula1>
    </dataValidation>
    <dataValidation type="list" allowBlank="1" showInputMessage="1" showErrorMessage="1" sqref="O3:O42" xr:uid="{4D984691-7686-4777-B0BE-B6585F6A2E53}">
      <formula1>$AQ$4:$AQ$9</formula1>
    </dataValidation>
    <dataValidation type="list" allowBlank="1" showInputMessage="1" showErrorMessage="1" sqref="G3:G42" xr:uid="{789BAE34-2566-46E7-8307-83CFA5A52223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7B52-726C-42D8-94B6-7729C0FDC6FF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138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9962C805-B187-48C2-9513-07B0E38D83DA}">
      <formula1>$AN$4:$AN$14</formula1>
    </dataValidation>
    <dataValidation type="list" allowBlank="1" showInputMessage="1" showErrorMessage="1" sqref="J3:J42" xr:uid="{0D4437AD-402B-403A-B7F4-E1AAF5A702BE}">
      <formula1>$AM$4:$AM$4</formula1>
    </dataValidation>
    <dataValidation type="list" allowBlank="1" showInputMessage="1" showErrorMessage="1" sqref="L3:L42" xr:uid="{788C3921-221E-42F2-8962-6D03D90A90DE}">
      <formula1>$AP$4:$AP$19</formula1>
    </dataValidation>
    <dataValidation type="list" allowBlank="1" showInputMessage="1" showErrorMessage="1" sqref="N3:N42" xr:uid="{C6AC543F-FB96-4B81-88CA-114D46063C42}">
      <formula1>$AO$4:$AO$5</formula1>
    </dataValidation>
    <dataValidation type="list" allowBlank="1" showInputMessage="1" showErrorMessage="1" sqref="K3:K42" xr:uid="{BBA868B6-BB68-4FA9-B13E-3422F72E3D2D}">
      <formula1>$AJ$4:$AJ$5</formula1>
    </dataValidation>
    <dataValidation type="list" allowBlank="1" showInputMessage="1" showErrorMessage="1" sqref="C3:C42" xr:uid="{1E574753-3323-4659-8E3F-74748A14FD38}">
      <formula1>$AG$4:$AG$6</formula1>
    </dataValidation>
    <dataValidation type="list" allowBlank="1" showInputMessage="1" showErrorMessage="1" sqref="F3:F42" xr:uid="{5E7DE1B9-FAC8-47E8-9946-0F45D8661B08}">
      <formula1>$AK$4:$AK$12</formula1>
    </dataValidation>
    <dataValidation type="list" allowBlank="1" showInputMessage="1" showErrorMessage="1" sqref="E3:E42" xr:uid="{84EFC11B-FC7E-417D-AC39-93E5DB0F80F7}">
      <formula1>$AI$4:$AI$12</formula1>
    </dataValidation>
    <dataValidation type="list" allowBlank="1" showInputMessage="1" showErrorMessage="1" sqref="H3:H42" xr:uid="{E025E4EC-4E3E-4E2B-B9D7-DAA67688B96F}">
      <formula1>$AL$4:$AL$8</formula1>
    </dataValidation>
    <dataValidation type="list" allowBlank="1" showInputMessage="1" showErrorMessage="1" sqref="D3:D42" xr:uid="{4D52F4C8-18DD-43BA-ACCE-4CB631A00625}">
      <formula1>$AH$4:$AH$12</formula1>
    </dataValidation>
    <dataValidation type="list" allowBlank="1" showInputMessage="1" showErrorMessage="1" sqref="O3:O42" xr:uid="{1C14982F-C2B4-41C3-94E9-CB38E2A91E9D}">
      <formula1>$AQ$4:$AQ$9</formula1>
    </dataValidation>
    <dataValidation type="list" allowBlank="1" showInputMessage="1" showErrorMessage="1" sqref="G3:G42" xr:uid="{3AF7FD9F-8867-4F0E-BE86-480B70715982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9CA9-B0B0-4A9F-9B1E-2354429D80F7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139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62842C6E-1858-42A1-9090-4868A1C1AA97}">
      <formula1>$AG$4:$AG$6</formula1>
    </dataValidation>
    <dataValidation type="list" allowBlank="1" showInputMessage="1" showErrorMessage="1" sqref="K3:K42" xr:uid="{B249E31C-24ED-4463-9AC6-8BBC86162EB2}">
      <formula1>$AJ$4:$AJ$5</formula1>
    </dataValidation>
    <dataValidation type="list" allowBlank="1" showInputMessage="1" showErrorMessage="1" sqref="N3:N42" xr:uid="{71479EF5-0230-4C56-A4BF-27E06AECECD7}">
      <formula1>$AO$4:$AO$5</formula1>
    </dataValidation>
    <dataValidation type="list" allowBlank="1" showInputMessage="1" showErrorMessage="1" sqref="L3:L42" xr:uid="{D5A2248C-9972-4A7A-8A60-1C8930C65790}">
      <formula1>$AP$4:$AP$19</formula1>
    </dataValidation>
    <dataValidation type="list" allowBlank="1" showInputMessage="1" showErrorMessage="1" sqref="J3:J42" xr:uid="{51BC1F63-E77C-44CF-95A9-37AD2617A50A}">
      <formula1>$AM$4:$AM$4</formula1>
    </dataValidation>
    <dataValidation type="list" allowBlank="1" showInputMessage="1" showErrorMessage="1" sqref="M3:M42" xr:uid="{0F9B8DF9-1263-4FE1-B6CF-4943E52C98A9}">
      <formula1>$AN$4:$AN$14</formula1>
    </dataValidation>
    <dataValidation type="list" allowBlank="1" showInputMessage="1" showErrorMessage="1" sqref="F3:F42" xr:uid="{5A79EFDF-340A-40DD-8FCD-EDC5B83195D8}">
      <formula1>$AK$4:$AK$12</formula1>
    </dataValidation>
    <dataValidation type="list" allowBlank="1" showInputMessage="1" showErrorMessage="1" sqref="E3:E42" xr:uid="{9921EF8E-49A1-4D44-BAB5-7A56465CD833}">
      <formula1>$AI$4:$AI$12</formula1>
    </dataValidation>
    <dataValidation type="list" allowBlank="1" showInputMessage="1" showErrorMessage="1" sqref="H3:H42" xr:uid="{1652BAB3-0E7C-48A8-91FD-199865A40147}">
      <formula1>$AL$4:$AL$8</formula1>
    </dataValidation>
    <dataValidation type="list" allowBlank="1" showInputMessage="1" showErrorMessage="1" sqref="D3:D42" xr:uid="{9368731D-A8C4-4BDE-8267-3E3C52B65F3E}">
      <formula1>$AH$4:$AH$12</formula1>
    </dataValidation>
    <dataValidation type="list" allowBlank="1" showInputMessage="1" showErrorMessage="1" sqref="O3:O42" xr:uid="{681F68DA-8BDB-4D2B-A770-6C54C6CB00DC}">
      <formula1>$AQ$4:$AQ$9</formula1>
    </dataValidation>
    <dataValidation type="list" allowBlank="1" showInputMessage="1" showErrorMessage="1" sqref="G3:G42" xr:uid="{4C7BBBD7-33DC-48B8-B722-9742DF628B4E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3858-0ED9-438F-9943-A862C0566ACE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140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88E3865D-FB91-4DC9-AC3E-8D09683F29CA}">
      <formula1>$AN$4:$AN$14</formula1>
    </dataValidation>
    <dataValidation type="list" allowBlank="1" showInputMessage="1" showErrorMessage="1" sqref="J3:J42" xr:uid="{0970CE53-A6A0-47FF-A001-E01419827CB4}">
      <formula1>$AM$4:$AM$4</formula1>
    </dataValidation>
    <dataValidation type="list" allowBlank="1" showInputMessage="1" showErrorMessage="1" sqref="L3:L42" xr:uid="{A75757BA-0E97-45B3-AD0B-49E6CFBC705A}">
      <formula1>$AP$4:$AP$19</formula1>
    </dataValidation>
    <dataValidation type="list" allowBlank="1" showInputMessage="1" showErrorMessage="1" sqref="N3:N42" xr:uid="{849C659A-D2EC-4070-A79D-382594C5E567}">
      <formula1>$AO$4:$AO$5</formula1>
    </dataValidation>
    <dataValidation type="list" allowBlank="1" showInputMessage="1" showErrorMessage="1" sqref="K3:K42" xr:uid="{A55BEE1C-5EC9-40BD-86B3-2F01C759F979}">
      <formula1>$AJ$4:$AJ$5</formula1>
    </dataValidation>
    <dataValidation type="list" allowBlank="1" showInputMessage="1" showErrorMessage="1" sqref="C3:C42" xr:uid="{4387EE79-9420-4430-B2D3-A909B3B20B31}">
      <formula1>$AG$4:$AG$6</formula1>
    </dataValidation>
    <dataValidation type="list" allowBlank="1" showInputMessage="1" showErrorMessage="1" sqref="F3:F42" xr:uid="{645FBAB5-AAB5-4D62-91BD-35791AE427D9}">
      <formula1>$AK$4:$AK$12</formula1>
    </dataValidation>
    <dataValidation type="list" allowBlank="1" showInputMessage="1" showErrorMessage="1" sqref="E3:E42" xr:uid="{3F8EDB41-1ECD-4E20-9459-6ACE91A84ABF}">
      <formula1>$AI$4:$AI$12</formula1>
    </dataValidation>
    <dataValidation type="list" allowBlank="1" showInputMessage="1" showErrorMessage="1" sqref="H3:H42" xr:uid="{41942C73-7463-4240-8280-77412E862DBD}">
      <formula1>$AL$4:$AL$8</formula1>
    </dataValidation>
    <dataValidation type="list" allowBlank="1" showInputMessage="1" showErrorMessage="1" sqref="D3:D42" xr:uid="{E17607A1-19D7-41A2-904D-671C0868D3E2}">
      <formula1>$AH$4:$AH$12</formula1>
    </dataValidation>
    <dataValidation type="list" allowBlank="1" showInputMessage="1" showErrorMessage="1" sqref="O3:O42" xr:uid="{F18C4C4C-1902-4984-A025-3E2825A76B54}">
      <formula1>$AQ$4:$AQ$9</formula1>
    </dataValidation>
    <dataValidation type="list" allowBlank="1" showInputMessage="1" showErrorMessage="1" sqref="G3:G42" xr:uid="{1562D5F6-1D2B-4262-92C0-091A352D194D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D179-4DE8-440E-9879-73AC450584FD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141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480912C1-2303-4FB9-99F3-259A942E2CF0}">
      <formula1>$AG$4:$AG$6</formula1>
    </dataValidation>
    <dataValidation type="list" allowBlank="1" showInputMessage="1" showErrorMessage="1" sqref="K3:K42" xr:uid="{6C64A211-9F2E-425E-9480-5A6D6B066D45}">
      <formula1>$AJ$4:$AJ$5</formula1>
    </dataValidation>
    <dataValidation type="list" allowBlank="1" showInputMessage="1" showErrorMessage="1" sqref="N3:N42" xr:uid="{950B320D-61ED-4A80-A7F3-AD10DD2CE1EE}">
      <formula1>$AO$4:$AO$5</formula1>
    </dataValidation>
    <dataValidation type="list" allowBlank="1" showInputMessage="1" showErrorMessage="1" sqref="L3:L42" xr:uid="{34914C4A-4824-4FF3-9FF8-9E94F90BC30B}">
      <formula1>$AP$4:$AP$19</formula1>
    </dataValidation>
    <dataValidation type="list" allowBlank="1" showInputMessage="1" showErrorMessage="1" sqref="J3:J42" xr:uid="{9B037794-0322-4B55-8CAD-A7ED6BD8222B}">
      <formula1>$AM$4:$AM$4</formula1>
    </dataValidation>
    <dataValidation type="list" allowBlank="1" showInputMessage="1" showErrorMessage="1" sqref="M3:M42" xr:uid="{81950A8B-70DA-4261-BF2B-D096CB20C1B4}">
      <formula1>$AN$4:$AN$14</formula1>
    </dataValidation>
    <dataValidation type="list" allowBlank="1" showInputMessage="1" showErrorMessage="1" sqref="F3:F42" xr:uid="{88B82041-4ABD-4B8A-AFF8-C806AF1872C0}">
      <formula1>$AK$4:$AK$12</formula1>
    </dataValidation>
    <dataValidation type="list" allowBlank="1" showInputMessage="1" showErrorMessage="1" sqref="E3:E42" xr:uid="{1410F368-94AF-49FC-B84C-5C8AFEC0F8DE}">
      <formula1>$AI$4:$AI$12</formula1>
    </dataValidation>
    <dataValidation type="list" allowBlank="1" showInputMessage="1" showErrorMessage="1" sqref="H3:H42" xr:uid="{DE270AC2-1D83-41EF-9909-C59EBED71B9D}">
      <formula1>$AL$4:$AL$8</formula1>
    </dataValidation>
    <dataValidation type="list" allowBlank="1" showInputMessage="1" showErrorMessage="1" sqref="D3:D42" xr:uid="{8574E42B-8373-4E33-95CF-101CD271DE6B}">
      <formula1>$AH$4:$AH$12</formula1>
    </dataValidation>
    <dataValidation type="list" allowBlank="1" showInputMessage="1" showErrorMessage="1" sqref="O3:O42" xr:uid="{3719A53B-E6BD-4DB3-8CC8-958F01875A6E}">
      <formula1>$AQ$4:$AQ$9</formula1>
    </dataValidation>
    <dataValidation type="list" allowBlank="1" showInputMessage="1" showErrorMessage="1" sqref="G3:G42" xr:uid="{A70A0A9A-975D-4BCD-B29B-E2ED9DECB331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AE28-F2F3-4BB3-9F23-1FDE30B20454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142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C9956D8A-9BAF-4B63-BA79-BD97ABAC429C}">
      <formula1>$AN$4:$AN$14</formula1>
    </dataValidation>
    <dataValidation type="list" allowBlank="1" showInputMessage="1" showErrorMessage="1" sqref="J3:J42" xr:uid="{2E604555-1D82-47C6-A1A9-EB8475D98C26}">
      <formula1>$AM$4:$AM$4</formula1>
    </dataValidation>
    <dataValidation type="list" allowBlank="1" showInputMessage="1" showErrorMessage="1" sqref="L3:L42" xr:uid="{08BD2B63-F4E7-4392-B27B-82F2DC59AA28}">
      <formula1>$AP$4:$AP$19</formula1>
    </dataValidation>
    <dataValidation type="list" allowBlank="1" showInputMessage="1" showErrorMessage="1" sqref="N3:N42" xr:uid="{FF4B2B63-5008-4A4B-AB82-96623009E79D}">
      <formula1>$AO$4:$AO$5</formula1>
    </dataValidation>
    <dataValidation type="list" allowBlank="1" showInputMessage="1" showErrorMessage="1" sqref="K3:K42" xr:uid="{F900DD82-21D3-4209-95E8-4404D30242B2}">
      <formula1>$AJ$4:$AJ$5</formula1>
    </dataValidation>
    <dataValidation type="list" allowBlank="1" showInputMessage="1" showErrorMessage="1" sqref="C3:C42" xr:uid="{C1BCB725-CCF0-4793-B150-CA0A1BABCAC2}">
      <formula1>$AG$4:$AG$6</formula1>
    </dataValidation>
    <dataValidation type="list" allowBlank="1" showInputMessage="1" showErrorMessage="1" sqref="F3:F42" xr:uid="{9B0429F0-51B1-4FA1-981C-A5F80F5BAF4F}">
      <formula1>$AK$4:$AK$12</formula1>
    </dataValidation>
    <dataValidation type="list" allowBlank="1" showInputMessage="1" showErrorMessage="1" sqref="E3:E42" xr:uid="{33F177F4-8132-45DE-87C5-E7E0A976B15C}">
      <formula1>$AI$4:$AI$12</formula1>
    </dataValidation>
    <dataValidation type="list" allowBlank="1" showInputMessage="1" showErrorMessage="1" sqref="H3:H42" xr:uid="{A24D7BC2-40B7-4741-85BD-07A079563D3B}">
      <formula1>$AL$4:$AL$8</formula1>
    </dataValidation>
    <dataValidation type="list" allowBlank="1" showInputMessage="1" showErrorMessage="1" sqref="D3:D42" xr:uid="{9BDE66B4-1FBA-4F39-A208-C80A7A8C5A3B}">
      <formula1>$AH$4:$AH$12</formula1>
    </dataValidation>
    <dataValidation type="list" allowBlank="1" showInputMessage="1" showErrorMessage="1" sqref="O3:O42" xr:uid="{C6B87EB7-7365-45B3-9BA9-73EAC738B4B9}">
      <formula1>$AQ$4:$AQ$9</formula1>
    </dataValidation>
    <dataValidation type="list" allowBlank="1" showInputMessage="1" showErrorMessage="1" sqref="G3:G42" xr:uid="{543DCFC3-8871-446D-A5C7-EC4DBC6952DF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98C9-19DF-466E-BB20-FE698BC5FEF4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143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3A3C360E-6368-480D-B524-391738460442}">
      <formula1>$AG$4:$AG$6</formula1>
    </dataValidation>
    <dataValidation type="list" allowBlank="1" showInputMessage="1" showErrorMessage="1" sqref="K3:K42" xr:uid="{5F5FFF42-D6EA-472C-B019-914EA321CAB5}">
      <formula1>$AJ$4:$AJ$5</formula1>
    </dataValidation>
    <dataValidation type="list" allowBlank="1" showInputMessage="1" showErrorMessage="1" sqref="N3:N42" xr:uid="{B23408FF-B413-4BD3-8BC2-A9A826203AAA}">
      <formula1>$AO$4:$AO$5</formula1>
    </dataValidation>
    <dataValidation type="list" allowBlank="1" showInputMessage="1" showErrorMessage="1" sqref="L3:L42" xr:uid="{1DFFA55D-5A10-4B62-AC8A-E12E6CFFB614}">
      <formula1>$AP$4:$AP$19</formula1>
    </dataValidation>
    <dataValidation type="list" allowBlank="1" showInputMessage="1" showErrorMessage="1" sqref="J3:J42" xr:uid="{A25AF3ED-CDE1-4C4D-8DEA-E15E3E53CF0C}">
      <formula1>$AM$4:$AM$4</formula1>
    </dataValidation>
    <dataValidation type="list" allowBlank="1" showInputMessage="1" showErrorMessage="1" sqref="M3:M42" xr:uid="{E0E73029-8FD3-4BA2-8E0B-D4AC29FA9706}">
      <formula1>$AN$4:$AN$14</formula1>
    </dataValidation>
    <dataValidation type="list" allowBlank="1" showInputMessage="1" showErrorMessage="1" sqref="F3:F42" xr:uid="{793C1BEA-903B-4679-8643-CA4B315A9D72}">
      <formula1>$AK$4:$AK$12</formula1>
    </dataValidation>
    <dataValidation type="list" allowBlank="1" showInputMessage="1" showErrorMessage="1" sqref="E3:E42" xr:uid="{3C18E6A1-3140-4949-A527-3149A857A528}">
      <formula1>$AI$4:$AI$12</formula1>
    </dataValidation>
    <dataValidation type="list" allowBlank="1" showInputMessage="1" showErrorMessage="1" sqref="H3:H42" xr:uid="{812CA56C-B453-4B23-B6F9-83EB1FF07146}">
      <formula1>$AL$4:$AL$8</formula1>
    </dataValidation>
    <dataValidation type="list" allowBlank="1" showInputMessage="1" showErrorMessage="1" sqref="D3:D42" xr:uid="{F02B79E2-7163-44A0-B727-2CA591D0D074}">
      <formula1>$AH$4:$AH$12</formula1>
    </dataValidation>
    <dataValidation type="list" allowBlank="1" showInputMessage="1" showErrorMessage="1" sqref="O3:O42" xr:uid="{4D31F8C4-194B-4EE7-9B33-18C0693DDB7E}">
      <formula1>$AQ$4:$AQ$9</formula1>
    </dataValidation>
    <dataValidation type="list" allowBlank="1" showInputMessage="1" showErrorMessage="1" sqref="G3:G42" xr:uid="{A31BF71B-036A-4394-945E-2B6132EE06F9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AE95-8E1F-4108-B7F9-E7A6D27A49E7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144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04D3BAF4-3760-41FB-A7EA-8F2AF420C34F}">
      <formula1>$AN$4:$AN$14</formula1>
    </dataValidation>
    <dataValidation type="list" allowBlank="1" showInputMessage="1" showErrorMessage="1" sqref="J3:J42" xr:uid="{C6F8B7B6-3B5D-460D-9AAE-F4F395B48F7E}">
      <formula1>$AM$4:$AM$4</formula1>
    </dataValidation>
    <dataValidation type="list" allowBlank="1" showInputMessage="1" showErrorMessage="1" sqref="L3:L42" xr:uid="{FA8CA4D9-FFD2-4B24-8161-DB21AB78FFEC}">
      <formula1>$AP$4:$AP$19</formula1>
    </dataValidation>
    <dataValidation type="list" allowBlank="1" showInputMessage="1" showErrorMessage="1" sqref="N3:N42" xr:uid="{D0A5C020-7753-4B3E-96C4-6480BF004658}">
      <formula1>$AO$4:$AO$5</formula1>
    </dataValidation>
    <dataValidation type="list" allowBlank="1" showInputMessage="1" showErrorMessage="1" sqref="K3:K42" xr:uid="{89509F46-DCE3-4E7F-8A5E-C5C91FDA63AE}">
      <formula1>$AJ$4:$AJ$5</formula1>
    </dataValidation>
    <dataValidation type="list" allowBlank="1" showInputMessage="1" showErrorMessage="1" sqref="C3:C42" xr:uid="{808382E3-4B9C-4551-A193-44AD198B4254}">
      <formula1>$AG$4:$AG$6</formula1>
    </dataValidation>
    <dataValidation type="list" allowBlank="1" showInputMessage="1" showErrorMessage="1" sqref="F3:F42" xr:uid="{24E7210E-C449-457C-BC31-BF68E0AA16CF}">
      <formula1>$AK$4:$AK$12</formula1>
    </dataValidation>
    <dataValidation type="list" allowBlank="1" showInputMessage="1" showErrorMessage="1" sqref="E3:E42" xr:uid="{A6CE5DAA-E5F9-4338-81A2-59064C066EBA}">
      <formula1>$AI$4:$AI$12</formula1>
    </dataValidation>
    <dataValidation type="list" allowBlank="1" showInputMessage="1" showErrorMessage="1" sqref="H3:H42" xr:uid="{F05DFC84-B703-4D2B-B84F-B306D78BA766}">
      <formula1>$AL$4:$AL$8</formula1>
    </dataValidation>
    <dataValidation type="list" allowBlank="1" showInputMessage="1" showErrorMessage="1" sqref="D3:D42" xr:uid="{538C088A-D60F-458C-BB5B-61F7707D34C1}">
      <formula1>$AH$4:$AH$12</formula1>
    </dataValidation>
    <dataValidation type="list" allowBlank="1" showInputMessage="1" showErrorMessage="1" sqref="O3:O42" xr:uid="{5003CFDD-9A85-43BD-A49A-998ED623D667}">
      <formula1>$AQ$4:$AQ$9</formula1>
    </dataValidation>
    <dataValidation type="list" allowBlank="1" showInputMessage="1" showErrorMessage="1" sqref="G3:G42" xr:uid="{B5CF6362-14AC-4215-9F8B-7D9F2EEF63DD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127E-D77C-4742-BC37-FBEC0102C250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145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41E8D800-7723-4CC2-8621-E7111AE00A4A}">
      <formula1>$AG$4:$AG$6</formula1>
    </dataValidation>
    <dataValidation type="list" allowBlank="1" showInputMessage="1" showErrorMessage="1" sqref="K3:K42" xr:uid="{9B48A8C5-D83E-46DE-93E2-5892223E86B3}">
      <formula1>$AJ$4:$AJ$5</formula1>
    </dataValidation>
    <dataValidation type="list" allowBlank="1" showInputMessage="1" showErrorMessage="1" sqref="N3:N42" xr:uid="{06486E33-D076-4D49-9A57-8AA686091F47}">
      <formula1>$AO$4:$AO$5</formula1>
    </dataValidation>
    <dataValidation type="list" allowBlank="1" showInputMessage="1" showErrorMessage="1" sqref="L3:L42" xr:uid="{DC495EF6-9975-4A2D-8D6A-F97CB75E02E1}">
      <formula1>$AP$4:$AP$19</formula1>
    </dataValidation>
    <dataValidation type="list" allowBlank="1" showInputMessage="1" showErrorMessage="1" sqref="J3:J42" xr:uid="{6035DD1F-58FC-4DAE-9A09-05501313834A}">
      <formula1>$AM$4:$AM$4</formula1>
    </dataValidation>
    <dataValidation type="list" allowBlank="1" showInputMessage="1" showErrorMessage="1" sqref="M3:M42" xr:uid="{3C13C251-F89B-4244-9B2A-D62EC0408483}">
      <formula1>$AN$4:$AN$14</formula1>
    </dataValidation>
    <dataValidation type="list" allowBlank="1" showInputMessage="1" showErrorMessage="1" sqref="F3:F42" xr:uid="{23E62DA5-0809-4F43-9988-EE6BDEE0C4E6}">
      <formula1>$AK$4:$AK$12</formula1>
    </dataValidation>
    <dataValidation type="list" allowBlank="1" showInputMessage="1" showErrorMessage="1" sqref="E3:E42" xr:uid="{307A1B75-0B40-4046-8E23-E69C7198775B}">
      <formula1>$AI$4:$AI$12</formula1>
    </dataValidation>
    <dataValidation type="list" allowBlank="1" showInputMessage="1" showErrorMessage="1" sqref="H3:H42" xr:uid="{58AC5112-9B50-4468-A06B-AA2244FAA01E}">
      <formula1>$AL$4:$AL$8</formula1>
    </dataValidation>
    <dataValidation type="list" allowBlank="1" showInputMessage="1" showErrorMessage="1" sqref="D3:D42" xr:uid="{F15ACD25-3AFC-4B15-9451-C29A61F46257}">
      <formula1>$AH$4:$AH$12</formula1>
    </dataValidation>
    <dataValidation type="list" allowBlank="1" showInputMessage="1" showErrorMessage="1" sqref="O3:O42" xr:uid="{ACFFA5E3-113B-4514-8E91-96B2187F4DE8}">
      <formula1>$AQ$4:$AQ$9</formula1>
    </dataValidation>
    <dataValidation type="list" allowBlank="1" showInputMessage="1" showErrorMessage="1" sqref="G3:G42" xr:uid="{57E6F562-3D17-4182-AA8B-CDF1495CA7BE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5CB5-10D1-4EFD-AC1A-2CC3A1945B1D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146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B13D1EC2-6748-48A9-AD7E-0307E3DF3218}">
      <formula1>$AN$4:$AN$14</formula1>
    </dataValidation>
    <dataValidation type="list" allowBlank="1" showInputMessage="1" showErrorMessage="1" sqref="J3:J42" xr:uid="{CA18B8A5-B878-4F91-B949-369FBDC61E11}">
      <formula1>$AM$4:$AM$4</formula1>
    </dataValidation>
    <dataValidation type="list" allowBlank="1" showInputMessage="1" showErrorMessage="1" sqref="L3:L42" xr:uid="{C5B9FAEC-61C2-4B2F-94E0-52084C309556}">
      <formula1>$AP$4:$AP$19</formula1>
    </dataValidation>
    <dataValidation type="list" allowBlank="1" showInputMessage="1" showErrorMessage="1" sqref="N3:N42" xr:uid="{75444F46-FE7F-4324-A6C5-2D47D9F74ED6}">
      <formula1>$AO$4:$AO$5</formula1>
    </dataValidation>
    <dataValidation type="list" allowBlank="1" showInputMessage="1" showErrorMessage="1" sqref="K3:K42" xr:uid="{2C485BB4-189C-4A25-8161-965DB8DFB5BA}">
      <formula1>$AJ$4:$AJ$5</formula1>
    </dataValidation>
    <dataValidation type="list" allowBlank="1" showInputMessage="1" showErrorMessage="1" sqref="C3:C42" xr:uid="{385C2021-B056-4CCB-8643-3D61F3CFF3C4}">
      <formula1>$AG$4:$AG$6</formula1>
    </dataValidation>
    <dataValidation type="list" allowBlank="1" showInputMessage="1" showErrorMessage="1" sqref="F3:F42" xr:uid="{23E04176-01B3-48E3-9FFC-A56AFD5607BE}">
      <formula1>$AK$4:$AK$12</formula1>
    </dataValidation>
    <dataValidation type="list" allowBlank="1" showInputMessage="1" showErrorMessage="1" sqref="E3:E42" xr:uid="{6D8C8E6A-AFFF-40FC-B900-612CB22270ED}">
      <formula1>$AI$4:$AI$12</formula1>
    </dataValidation>
    <dataValidation type="list" allowBlank="1" showInputMessage="1" showErrorMessage="1" sqref="H3:H42" xr:uid="{791CDD0B-39E4-49B8-AD56-D80F88BE88DD}">
      <formula1>$AL$4:$AL$8</formula1>
    </dataValidation>
    <dataValidation type="list" allowBlank="1" showInputMessage="1" showErrorMessage="1" sqref="D3:D42" xr:uid="{0AD3D73D-C9C4-4706-8E82-092DF313C001}">
      <formula1>$AH$4:$AH$12</formula1>
    </dataValidation>
    <dataValidation type="list" allowBlank="1" showInputMessage="1" showErrorMessage="1" sqref="O3:O42" xr:uid="{C5C05491-F0A4-43D2-BFA7-44210DD7F9DD}">
      <formula1>$AQ$4:$AQ$9</formula1>
    </dataValidation>
    <dataValidation type="list" allowBlank="1" showInputMessage="1" showErrorMessage="1" sqref="G3:G42" xr:uid="{AA2D02E1-037E-4086-B1B2-980B005BF7D9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1EAE-E16A-4354-8CB6-605533AA8E9E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147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E711C349-6035-4DA7-84EC-CCE11866B8D6}">
      <formula1>$AG$4:$AG$6</formula1>
    </dataValidation>
    <dataValidation type="list" allowBlank="1" showInputMessage="1" showErrorMessage="1" sqref="K3:K42" xr:uid="{DE123A21-E21A-4840-8E32-99C46EA2FD9E}">
      <formula1>$AJ$4:$AJ$5</formula1>
    </dataValidation>
    <dataValidation type="list" allowBlank="1" showInputMessage="1" showErrorMessage="1" sqref="N3:N42" xr:uid="{C7404E3F-5E34-4965-A1D7-4578BC7175EF}">
      <formula1>$AO$4:$AO$5</formula1>
    </dataValidation>
    <dataValidation type="list" allowBlank="1" showInputMessage="1" showErrorMessage="1" sqref="L3:L42" xr:uid="{65979DAC-6954-4396-BBEF-1EBC8433C7BB}">
      <formula1>$AP$4:$AP$19</formula1>
    </dataValidation>
    <dataValidation type="list" allowBlank="1" showInputMessage="1" showErrorMessage="1" sqref="J3:J42" xr:uid="{26DF0771-40A3-4BBD-B9E5-F8E0D1B12DC1}">
      <formula1>$AM$4:$AM$4</formula1>
    </dataValidation>
    <dataValidation type="list" allowBlank="1" showInputMessage="1" showErrorMessage="1" sqref="M3:M42" xr:uid="{37C6C865-BC59-49AF-AD70-D1B4D788C221}">
      <formula1>$AN$4:$AN$14</formula1>
    </dataValidation>
    <dataValidation type="list" allowBlank="1" showInputMessage="1" showErrorMessage="1" sqref="F3:F42" xr:uid="{B5479CD6-A5F1-46DC-BC4C-CCC471820A3B}">
      <formula1>$AK$4:$AK$12</formula1>
    </dataValidation>
    <dataValidation type="list" allowBlank="1" showInputMessage="1" showErrorMessage="1" sqref="E3:E42" xr:uid="{5B009C85-E12F-4B0D-A073-223C15FCB592}">
      <formula1>$AI$4:$AI$12</formula1>
    </dataValidation>
    <dataValidation type="list" allowBlank="1" showInputMessage="1" showErrorMessage="1" sqref="H3:H42" xr:uid="{E82CD88B-B41A-4C92-8286-CF9E6393A53F}">
      <formula1>$AL$4:$AL$8</formula1>
    </dataValidation>
    <dataValidation type="list" allowBlank="1" showInputMessage="1" showErrorMessage="1" sqref="D3:D42" xr:uid="{309DB301-E45A-47A7-AB7D-6ACABABC4D49}">
      <formula1>$AH$4:$AH$12</formula1>
    </dataValidation>
    <dataValidation type="list" allowBlank="1" showInputMessage="1" showErrorMessage="1" sqref="O3:O42" xr:uid="{470EEF4B-3DC6-4E8D-B590-CFA5F749BAE7}">
      <formula1>$AQ$4:$AQ$9</formula1>
    </dataValidation>
    <dataValidation type="list" allowBlank="1" showInputMessage="1" showErrorMessage="1" sqref="G3:G42" xr:uid="{DB463AAD-8349-499F-B156-B8E0D3AFD18C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F715-FC86-4756-B005-BA6B700B24C1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148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9778680D-0BDE-4140-A3F0-5C45EEF8D09F}">
      <formula1>$AN$4:$AN$14</formula1>
    </dataValidation>
    <dataValidation type="list" allowBlank="1" showInputMessage="1" showErrorMessage="1" sqref="J3:J42" xr:uid="{4815236A-3ADA-43FB-967B-0DF77027ED09}">
      <formula1>$AM$4:$AM$4</formula1>
    </dataValidation>
    <dataValidation type="list" allowBlank="1" showInputMessage="1" showErrorMessage="1" sqref="L3:L42" xr:uid="{A597FDE5-394C-4A9A-83AE-90B0015103E9}">
      <formula1>$AP$4:$AP$19</formula1>
    </dataValidation>
    <dataValidation type="list" allowBlank="1" showInputMessage="1" showErrorMessage="1" sqref="N3:N42" xr:uid="{90600A4F-E95F-4F35-ADAD-84426DADBCBB}">
      <formula1>$AO$4:$AO$5</formula1>
    </dataValidation>
    <dataValidation type="list" allowBlank="1" showInputMessage="1" showErrorMessage="1" sqref="K3:K42" xr:uid="{3DB83414-3340-4BBE-B8FE-F8DE6C015FF8}">
      <formula1>$AJ$4:$AJ$5</formula1>
    </dataValidation>
    <dataValidation type="list" allowBlank="1" showInputMessage="1" showErrorMessage="1" sqref="C3:C42" xr:uid="{8469ACD5-A050-4039-86CB-E253BF7E7624}">
      <formula1>$AG$4:$AG$6</formula1>
    </dataValidation>
    <dataValidation type="list" allowBlank="1" showInputMessage="1" showErrorMessage="1" sqref="F3:F42" xr:uid="{389ACF07-C903-4191-8A0C-3D19B23E049A}">
      <formula1>$AK$4:$AK$12</formula1>
    </dataValidation>
    <dataValidation type="list" allowBlank="1" showInputMessage="1" showErrorMessage="1" sqref="E3:E42" xr:uid="{04BF7825-AF71-4434-BD63-4D5622855667}">
      <formula1>$AI$4:$AI$12</formula1>
    </dataValidation>
    <dataValidation type="list" allowBlank="1" showInputMessage="1" showErrorMessage="1" sqref="H3:H42" xr:uid="{F9F785BB-04CD-432E-ACF1-BB10CEF3644D}">
      <formula1>$AL$4:$AL$8</formula1>
    </dataValidation>
    <dataValidation type="list" allowBlank="1" showInputMessage="1" showErrorMessage="1" sqref="D3:D42" xr:uid="{C12528A8-629E-48A6-93A4-D45758611CF3}">
      <formula1>$AH$4:$AH$12</formula1>
    </dataValidation>
    <dataValidation type="list" allowBlank="1" showInputMessage="1" showErrorMessage="1" sqref="O3:O42" xr:uid="{A6A612AC-AAE1-4DAD-ADB5-5E06E1BBF0CB}">
      <formula1>$AQ$4:$AQ$9</formula1>
    </dataValidation>
    <dataValidation type="list" allowBlank="1" showInputMessage="1" showErrorMessage="1" sqref="G3:G42" xr:uid="{52AD28A1-4296-43DD-B1C7-925FD8B935D2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EBB7-CEBE-46EF-B358-746ED6666D53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149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70924208-2278-41A4-80FE-5851F61997D7}">
      <formula1>$AG$4:$AG$6</formula1>
    </dataValidation>
    <dataValidation type="list" allowBlank="1" showInputMessage="1" showErrorMessage="1" sqref="K3:K42" xr:uid="{6D1494B5-0A35-4616-BCCC-95381D80C7F2}">
      <formula1>$AJ$4:$AJ$5</formula1>
    </dataValidation>
    <dataValidation type="list" allowBlank="1" showInputMessage="1" showErrorMessage="1" sqref="N3:N42" xr:uid="{3D655BBB-493A-4259-A540-B53BFDBB19DC}">
      <formula1>$AO$4:$AO$5</formula1>
    </dataValidation>
    <dataValidation type="list" allowBlank="1" showInputMessage="1" showErrorMessage="1" sqref="L3:L42" xr:uid="{0E303696-B4A2-4E83-BE0F-E6CBB5756C3B}">
      <formula1>$AP$4:$AP$19</formula1>
    </dataValidation>
    <dataValidation type="list" allowBlank="1" showInputMessage="1" showErrorMessage="1" sqref="J3:J42" xr:uid="{12346B99-7456-4CE2-82B9-DDB164390406}">
      <formula1>$AM$4:$AM$4</formula1>
    </dataValidation>
    <dataValidation type="list" allowBlank="1" showInputMessage="1" showErrorMessage="1" sqref="M3:M42" xr:uid="{9ACB4D79-ECF5-4DD4-B54D-0D052C04FDF9}">
      <formula1>$AN$4:$AN$14</formula1>
    </dataValidation>
    <dataValidation type="list" allowBlank="1" showInputMessage="1" showErrorMessage="1" sqref="F3:F42" xr:uid="{31E2C0AE-C76D-4F09-97BA-9E82071EA4A2}">
      <formula1>$AK$4:$AK$12</formula1>
    </dataValidation>
    <dataValidation type="list" allowBlank="1" showInputMessage="1" showErrorMessage="1" sqref="E3:E42" xr:uid="{007A7A5F-9801-46CE-9851-5B595F738531}">
      <formula1>$AI$4:$AI$12</formula1>
    </dataValidation>
    <dataValidation type="list" allowBlank="1" showInputMessage="1" showErrorMessage="1" sqref="H3:H42" xr:uid="{479827E8-8798-43A5-B4AF-4B22ACB12097}">
      <formula1>$AL$4:$AL$8</formula1>
    </dataValidation>
    <dataValidation type="list" allowBlank="1" showInputMessage="1" showErrorMessage="1" sqref="D3:D42" xr:uid="{CE775228-5376-4B41-BE97-4E2C9B87CC20}">
      <formula1>$AH$4:$AH$12</formula1>
    </dataValidation>
    <dataValidation type="list" allowBlank="1" showInputMessage="1" showErrorMessage="1" sqref="O3:O42" xr:uid="{08A0D228-B553-4A83-8C5F-4C0B541116ED}">
      <formula1>$AQ$4:$AQ$9</formula1>
    </dataValidation>
    <dataValidation type="list" allowBlank="1" showInputMessage="1" showErrorMessage="1" sqref="G3:G42" xr:uid="{EBE92E49-A185-4EB3-8F2D-68774D28F252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9662-D689-47E2-8D19-53201C15CCCF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150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8BA6D8B5-2ADD-40A5-8085-11B20697A819}">
      <formula1>$AN$4:$AN$14</formula1>
    </dataValidation>
    <dataValidation type="list" allowBlank="1" showInputMessage="1" showErrorMessage="1" sqref="J3:J42" xr:uid="{D96FDD19-BE83-44C4-A511-C7E7694103D5}">
      <formula1>$AM$4:$AM$4</formula1>
    </dataValidation>
    <dataValidation type="list" allowBlank="1" showInputMessage="1" showErrorMessage="1" sqref="L3:L42" xr:uid="{AD6B98C6-91B5-4716-A53D-EC5A64CA8C37}">
      <formula1>$AP$4:$AP$19</formula1>
    </dataValidation>
    <dataValidation type="list" allowBlank="1" showInputMessage="1" showErrorMessage="1" sqref="N3:N42" xr:uid="{54F0820C-42FF-433E-B1C8-E329F220BDFF}">
      <formula1>$AO$4:$AO$5</formula1>
    </dataValidation>
    <dataValidation type="list" allowBlank="1" showInputMessage="1" showErrorMessage="1" sqref="K3:K42" xr:uid="{36DC984E-257D-487A-BD5C-B0DFD24BFABC}">
      <formula1>$AJ$4:$AJ$5</formula1>
    </dataValidation>
    <dataValidation type="list" allowBlank="1" showInputMessage="1" showErrorMessage="1" sqref="C3:C42" xr:uid="{FF77FE9A-33E5-4FE7-A188-B161F2AC0F6D}">
      <formula1>$AG$4:$AG$6</formula1>
    </dataValidation>
    <dataValidation type="list" allowBlank="1" showInputMessage="1" showErrorMessage="1" sqref="F3:F42" xr:uid="{C0409BA4-70BD-46C1-AE14-5FD0D7B16D99}">
      <formula1>$AK$4:$AK$12</formula1>
    </dataValidation>
    <dataValidation type="list" allowBlank="1" showInputMessage="1" showErrorMessage="1" sqref="E3:E42" xr:uid="{A25EA05C-E9AC-4B11-B054-AEBEFDAE7536}">
      <formula1>$AI$4:$AI$12</formula1>
    </dataValidation>
    <dataValidation type="list" allowBlank="1" showInputMessage="1" showErrorMessage="1" sqref="H3:H42" xr:uid="{0ED61096-DC44-472F-A02C-B528BB71690C}">
      <formula1>$AL$4:$AL$8</formula1>
    </dataValidation>
    <dataValidation type="list" allowBlank="1" showInputMessage="1" showErrorMessage="1" sqref="D3:D42" xr:uid="{B8AE4956-25C4-4B0A-9CE0-A4BF71E856DB}">
      <formula1>$AH$4:$AH$12</formula1>
    </dataValidation>
    <dataValidation type="list" allowBlank="1" showInputMessage="1" showErrorMessage="1" sqref="O3:O42" xr:uid="{9C5ACCB3-B305-4E55-B027-7D28EB7AE3EE}">
      <formula1>$AQ$4:$AQ$9</formula1>
    </dataValidation>
    <dataValidation type="list" allowBlank="1" showInputMessage="1" showErrorMessage="1" sqref="G3:G42" xr:uid="{FD8B1928-1219-4CD3-AD13-646ED792ADA8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6C2A-7C8F-4318-88C3-AE1147496D11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151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40DC34BA-7893-4762-9FEA-C5E80ACE0363}">
      <formula1>$AG$4:$AG$6</formula1>
    </dataValidation>
    <dataValidation type="list" allowBlank="1" showInputMessage="1" showErrorMessage="1" sqref="K3:K42" xr:uid="{FB4E45E8-CEFD-4949-B88A-8E3DFB8EFAE4}">
      <formula1>$AJ$4:$AJ$5</formula1>
    </dataValidation>
    <dataValidation type="list" allowBlank="1" showInputMessage="1" showErrorMessage="1" sqref="N3:N42" xr:uid="{60F55066-6C9B-4CE0-8485-8424BDF2ED82}">
      <formula1>$AO$4:$AO$5</formula1>
    </dataValidation>
    <dataValidation type="list" allowBlank="1" showInputMessage="1" showErrorMessage="1" sqref="L3:L42" xr:uid="{F9C782F9-4A4B-499B-A1E9-009F5021052A}">
      <formula1>$AP$4:$AP$19</formula1>
    </dataValidation>
    <dataValidation type="list" allowBlank="1" showInputMessage="1" showErrorMessage="1" sqref="J3:J42" xr:uid="{1ED2BBB4-265E-463E-A994-5DE561AD75BE}">
      <formula1>$AM$4:$AM$4</formula1>
    </dataValidation>
    <dataValidation type="list" allowBlank="1" showInputMessage="1" showErrorMessage="1" sqref="M3:M42" xr:uid="{4F1D2A35-A51A-4505-8E73-FE1C726E7C3C}">
      <formula1>$AN$4:$AN$14</formula1>
    </dataValidation>
    <dataValidation type="list" allowBlank="1" showInputMessage="1" showErrorMessage="1" sqref="F3:F42" xr:uid="{658411E8-8309-4B64-B60A-3CE12B57044E}">
      <formula1>$AK$4:$AK$12</formula1>
    </dataValidation>
    <dataValidation type="list" allowBlank="1" showInputMessage="1" showErrorMessage="1" sqref="E3:E42" xr:uid="{8668FC10-E93E-4BDF-8FE6-DF6F4517710F}">
      <formula1>$AI$4:$AI$12</formula1>
    </dataValidation>
    <dataValidation type="list" allowBlank="1" showInputMessage="1" showErrorMessage="1" sqref="H3:H42" xr:uid="{0AC6841C-3442-4724-AD35-DEEBA9EAF7F3}">
      <formula1>$AL$4:$AL$8</formula1>
    </dataValidation>
    <dataValidation type="list" allowBlank="1" showInputMessage="1" showErrorMessage="1" sqref="D3:D42" xr:uid="{DC2DF104-7E4A-471E-BAAB-7225B05790AA}">
      <formula1>$AH$4:$AH$12</formula1>
    </dataValidation>
    <dataValidation type="list" allowBlank="1" showInputMessage="1" showErrorMessage="1" sqref="O3:O42" xr:uid="{A8946968-579F-469F-9E0C-BF8FD2ED56E0}">
      <formula1>$AQ$4:$AQ$9</formula1>
    </dataValidation>
    <dataValidation type="list" allowBlank="1" showInputMessage="1" showErrorMessage="1" sqref="G3:G42" xr:uid="{A0337FA8-1C0D-4E63-ABAE-F612CCA2A304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9CAB-ADAF-4216-AF2B-6E0B276C81D2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152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FE3531BB-5FFF-4C89-A6DB-59C0AD54A10D}">
      <formula1>$AN$4:$AN$14</formula1>
    </dataValidation>
    <dataValidation type="list" allowBlank="1" showInputMessage="1" showErrorMessage="1" sqref="J3:J42" xr:uid="{C27C98C7-9589-46C4-8E40-C6E3EC9D9974}">
      <formula1>$AM$4:$AM$4</formula1>
    </dataValidation>
    <dataValidation type="list" allowBlank="1" showInputMessage="1" showErrorMessage="1" sqref="L3:L42" xr:uid="{BC614722-6C0A-4561-826E-C6CC975AF8B9}">
      <formula1>$AP$4:$AP$19</formula1>
    </dataValidation>
    <dataValidation type="list" allowBlank="1" showInputMessage="1" showErrorMessage="1" sqref="N3:N42" xr:uid="{078D69AC-8479-4352-8D1B-5DC5C841C712}">
      <formula1>$AO$4:$AO$5</formula1>
    </dataValidation>
    <dataValidation type="list" allowBlank="1" showInputMessage="1" showErrorMessage="1" sqref="K3:K42" xr:uid="{66B57344-B2E9-4BD4-9D04-8BCC73CEAA5F}">
      <formula1>$AJ$4:$AJ$5</formula1>
    </dataValidation>
    <dataValidation type="list" allowBlank="1" showInputMessage="1" showErrorMessage="1" sqref="C3:C42" xr:uid="{D6D79EB5-8F07-44F8-844A-900A79CFF684}">
      <formula1>$AG$4:$AG$6</formula1>
    </dataValidation>
    <dataValidation type="list" allowBlank="1" showInputMessage="1" showErrorMessage="1" sqref="F3:F42" xr:uid="{55634347-E3D8-4819-854C-6773E3074940}">
      <formula1>$AK$4:$AK$12</formula1>
    </dataValidation>
    <dataValidation type="list" allowBlank="1" showInputMessage="1" showErrorMessage="1" sqref="E3:E42" xr:uid="{01E57114-FF65-46E6-8CC0-E33E2F933EA5}">
      <formula1>$AI$4:$AI$12</formula1>
    </dataValidation>
    <dataValidation type="list" allowBlank="1" showInputMessage="1" showErrorMessage="1" sqref="H3:H42" xr:uid="{791DF2B8-6492-421E-A0C7-1B2E216B61FF}">
      <formula1>$AL$4:$AL$8</formula1>
    </dataValidation>
    <dataValidation type="list" allowBlank="1" showInputMessage="1" showErrorMessage="1" sqref="D3:D42" xr:uid="{582A789B-F4BB-4035-84D5-FC5457A0775E}">
      <formula1>$AH$4:$AH$12</formula1>
    </dataValidation>
    <dataValidation type="list" allowBlank="1" showInputMessage="1" showErrorMessage="1" sqref="O3:O42" xr:uid="{D93D2850-D6E1-4CA4-8B06-E341D2B1B9F3}">
      <formula1>$AQ$4:$AQ$9</formula1>
    </dataValidation>
    <dataValidation type="list" allowBlank="1" showInputMessage="1" showErrorMessage="1" sqref="G3:G42" xr:uid="{A9A856F9-3BA6-4BBA-ABEF-6F7396F142AF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157D-6E56-47C3-AF41-F7556E4F90F0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153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51BE7AF6-16A2-4D63-A198-0FF4B153D093}">
      <formula1>$AG$4:$AG$6</formula1>
    </dataValidation>
    <dataValidation type="list" allowBlank="1" showInputMessage="1" showErrorMessage="1" sqref="K3:K42" xr:uid="{0BB42C41-01AF-4D83-87D1-CC17165388F0}">
      <formula1>$AJ$4:$AJ$5</formula1>
    </dataValidation>
    <dataValidation type="list" allowBlank="1" showInputMessage="1" showErrorMessage="1" sqref="N3:N42" xr:uid="{BA7AD926-01C9-4E08-BE81-1D9B86F8A03B}">
      <formula1>$AO$4:$AO$5</formula1>
    </dataValidation>
    <dataValidation type="list" allowBlank="1" showInputMessage="1" showErrorMessage="1" sqref="L3:L42" xr:uid="{59FA09B7-76BB-48DB-BFFF-FB3B1774A835}">
      <formula1>$AP$4:$AP$19</formula1>
    </dataValidation>
    <dataValidation type="list" allowBlank="1" showInputMessage="1" showErrorMessage="1" sqref="J3:J42" xr:uid="{32301912-86EF-48D8-9232-75DE9115566D}">
      <formula1>$AM$4:$AM$4</formula1>
    </dataValidation>
    <dataValidation type="list" allowBlank="1" showInputMessage="1" showErrorMessage="1" sqref="M3:M42" xr:uid="{3967CD6D-0A90-4168-BD52-30BBD9C1D850}">
      <formula1>$AN$4:$AN$14</formula1>
    </dataValidation>
    <dataValidation type="list" allowBlank="1" showInputMessage="1" showErrorMessage="1" sqref="F3:F42" xr:uid="{15195437-3A26-4D90-8444-10E1E943D2C0}">
      <formula1>$AK$4:$AK$12</formula1>
    </dataValidation>
    <dataValidation type="list" allowBlank="1" showInputMessage="1" showErrorMessage="1" sqref="E3:E42" xr:uid="{3CE4D119-BB8B-45DE-8C30-1D2FBB5CAE5B}">
      <formula1>$AI$4:$AI$12</formula1>
    </dataValidation>
    <dataValidation type="list" allowBlank="1" showInputMessage="1" showErrorMessage="1" sqref="H3:H42" xr:uid="{0E15A6A8-B64D-431D-A0FE-5F35346B85AE}">
      <formula1>$AL$4:$AL$8</formula1>
    </dataValidation>
    <dataValidation type="list" allowBlank="1" showInputMessage="1" showErrorMessage="1" sqref="D3:D42" xr:uid="{9AD6A20B-47FF-4A31-A644-1E818A3C3556}">
      <formula1>$AH$4:$AH$12</formula1>
    </dataValidation>
    <dataValidation type="list" allowBlank="1" showInputMessage="1" showErrorMessage="1" sqref="O3:O42" xr:uid="{DFCC5873-8A57-40AE-BF16-9B35D36810FC}">
      <formula1>$AQ$4:$AQ$9</formula1>
    </dataValidation>
    <dataValidation type="list" allowBlank="1" showInputMessage="1" showErrorMessage="1" sqref="G3:G42" xr:uid="{6A040CB4-3BDF-4465-82F4-E82DAE29F4DF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875A-F09D-4C34-A29F-23AE75A6B912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154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41BAFA2D-A135-42EA-BE18-3DA46FF10F23}">
      <formula1>$AN$4:$AN$14</formula1>
    </dataValidation>
    <dataValidation type="list" allowBlank="1" showInputMessage="1" showErrorMessage="1" sqref="J3:J42" xr:uid="{EF73BA4F-F21E-452B-A30F-2C0C90B35D90}">
      <formula1>$AM$4:$AM$4</formula1>
    </dataValidation>
    <dataValidation type="list" allowBlank="1" showInputMessage="1" showErrorMessage="1" sqref="L3:L42" xr:uid="{3FD55542-86B8-4B92-ACFC-07F96D8A18A0}">
      <formula1>$AP$4:$AP$19</formula1>
    </dataValidation>
    <dataValidation type="list" allowBlank="1" showInputMessage="1" showErrorMessage="1" sqref="N3:N42" xr:uid="{9E95253A-5EE1-4A41-B704-EEF2F4730903}">
      <formula1>$AO$4:$AO$5</formula1>
    </dataValidation>
    <dataValidation type="list" allowBlank="1" showInputMessage="1" showErrorMessage="1" sqref="K3:K42" xr:uid="{F9A08403-5FC1-4136-9103-C6B4C18CDCF2}">
      <formula1>$AJ$4:$AJ$5</formula1>
    </dataValidation>
    <dataValidation type="list" allowBlank="1" showInputMessage="1" showErrorMessage="1" sqref="C3:C42" xr:uid="{BC661AFD-544C-408E-80EC-562B425F5D3C}">
      <formula1>$AG$4:$AG$6</formula1>
    </dataValidation>
    <dataValidation type="list" allowBlank="1" showInputMessage="1" showErrorMessage="1" sqref="F3:F42" xr:uid="{B803A765-8E99-4C76-A7B3-C86BAE49FE41}">
      <formula1>$AK$4:$AK$12</formula1>
    </dataValidation>
    <dataValidation type="list" allowBlank="1" showInputMessage="1" showErrorMessage="1" sqref="E3:E42" xr:uid="{8BDF8CAE-46C9-4908-8490-DBD43564A27A}">
      <formula1>$AI$4:$AI$12</formula1>
    </dataValidation>
    <dataValidation type="list" allowBlank="1" showInputMessage="1" showErrorMessage="1" sqref="H3:H42" xr:uid="{81B346A6-263E-438C-B783-0A259193EF42}">
      <formula1>$AL$4:$AL$8</formula1>
    </dataValidation>
    <dataValidation type="list" allowBlank="1" showInputMessage="1" showErrorMessage="1" sqref="D3:D42" xr:uid="{7C041DB5-F12C-4BCD-B94B-3437327C70E6}">
      <formula1>$AH$4:$AH$12</formula1>
    </dataValidation>
    <dataValidation type="list" allowBlank="1" showInputMessage="1" showErrorMessage="1" sqref="O3:O42" xr:uid="{108E156F-FBE5-411D-8B62-5FF8E55AF4FC}">
      <formula1>$AQ$4:$AQ$9</formula1>
    </dataValidation>
    <dataValidation type="list" allowBlank="1" showInputMessage="1" showErrorMessage="1" sqref="G3:G42" xr:uid="{C825D8B4-1476-473B-9CBA-E86C54B474FA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E564-E2A2-4F45-874C-40D1D27FCE43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155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A91E5EC9-31FE-4CBF-BFB8-E125EAE32651}">
      <formula1>$AG$4:$AG$6</formula1>
    </dataValidation>
    <dataValidation type="list" allowBlank="1" showInputMessage="1" showErrorMessage="1" sqref="K3:K42" xr:uid="{0596B345-30F6-4E65-9E85-3CB75E92375C}">
      <formula1>$AJ$4:$AJ$5</formula1>
    </dataValidation>
    <dataValidation type="list" allowBlank="1" showInputMessage="1" showErrorMessage="1" sqref="N3:N42" xr:uid="{83C88B50-BA36-4DCA-A4A7-E4E5181F89CF}">
      <formula1>$AO$4:$AO$5</formula1>
    </dataValidation>
    <dataValidation type="list" allowBlank="1" showInputMessage="1" showErrorMessage="1" sqref="L3:L42" xr:uid="{BF962AD6-2B2F-44FF-A473-ADAAC88D49AC}">
      <formula1>$AP$4:$AP$19</formula1>
    </dataValidation>
    <dataValidation type="list" allowBlank="1" showInputMessage="1" showErrorMessage="1" sqref="J3:J42" xr:uid="{E89356C7-3D1A-4E3A-9EF2-2FB81D32DD1E}">
      <formula1>$AM$4:$AM$4</formula1>
    </dataValidation>
    <dataValidation type="list" allowBlank="1" showInputMessage="1" showErrorMessage="1" sqref="M3:M42" xr:uid="{A1AB9E29-C996-4314-B458-A0102443C9E1}">
      <formula1>$AN$4:$AN$14</formula1>
    </dataValidation>
    <dataValidation type="list" allowBlank="1" showInputMessage="1" showErrorMessage="1" sqref="F3:F42" xr:uid="{CC40115F-0770-4E23-A513-149ABA86A086}">
      <formula1>$AK$4:$AK$12</formula1>
    </dataValidation>
    <dataValidation type="list" allowBlank="1" showInputMessage="1" showErrorMessage="1" sqref="E3:E42" xr:uid="{70B61A25-5F27-4558-B38E-D57416159D7A}">
      <formula1>$AI$4:$AI$12</formula1>
    </dataValidation>
    <dataValidation type="list" allowBlank="1" showInputMessage="1" showErrorMessage="1" sqref="H3:H42" xr:uid="{8A1915A5-602E-42B4-A604-6CA7EBE7AEBE}">
      <formula1>$AL$4:$AL$8</formula1>
    </dataValidation>
    <dataValidation type="list" allowBlank="1" showInputMessage="1" showErrorMessage="1" sqref="D3:D42" xr:uid="{7E9E86A5-F3CB-49CF-BD9F-29BCE8A206F3}">
      <formula1>$AH$4:$AH$12</formula1>
    </dataValidation>
    <dataValidation type="list" allowBlank="1" showInputMessage="1" showErrorMessage="1" sqref="O3:O42" xr:uid="{C5BDD419-F7B1-466E-818B-E7748C85412C}">
      <formula1>$AQ$4:$AQ$9</formula1>
    </dataValidation>
    <dataValidation type="list" allowBlank="1" showInputMessage="1" showErrorMessage="1" sqref="G3:G42" xr:uid="{89429750-9E5B-4221-8B57-69358B9AA88C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50F3-83D5-4408-8FDD-EE8355F546BE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156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73D2DC76-5A09-48FE-B5E4-76E362ED04A2}">
      <formula1>$AN$4:$AN$14</formula1>
    </dataValidation>
    <dataValidation type="list" allowBlank="1" showInputMessage="1" showErrorMessage="1" sqref="J3:J42" xr:uid="{7838EB4F-F7C8-49AA-B236-1BF442B4A935}">
      <formula1>$AM$4:$AM$4</formula1>
    </dataValidation>
    <dataValidation type="list" allowBlank="1" showInputMessage="1" showErrorMessage="1" sqref="L3:L42" xr:uid="{71DF1359-169D-406E-BBB3-2ABD2E2A6FBC}">
      <formula1>$AP$4:$AP$19</formula1>
    </dataValidation>
    <dataValidation type="list" allowBlank="1" showInputMessage="1" showErrorMessage="1" sqref="N3:N42" xr:uid="{8E0D425C-C861-4553-A6DD-49AF741CE9DD}">
      <formula1>$AO$4:$AO$5</formula1>
    </dataValidation>
    <dataValidation type="list" allowBlank="1" showInputMessage="1" showErrorMessage="1" sqref="K3:K42" xr:uid="{BF54C067-31DD-45B6-B32A-5BE21E72E624}">
      <formula1>$AJ$4:$AJ$5</formula1>
    </dataValidation>
    <dataValidation type="list" allowBlank="1" showInputMessage="1" showErrorMessage="1" sqref="C3:C42" xr:uid="{6A7328E5-231A-4FFA-BAF8-EA9F05995C40}">
      <formula1>$AG$4:$AG$6</formula1>
    </dataValidation>
    <dataValidation type="list" allowBlank="1" showInputMessage="1" showErrorMessage="1" sqref="F3:F42" xr:uid="{CA4A307C-A617-4F44-9587-8D6FF90EF430}">
      <formula1>$AK$4:$AK$12</formula1>
    </dataValidation>
    <dataValidation type="list" allowBlank="1" showInputMessage="1" showErrorMessage="1" sqref="E3:E42" xr:uid="{617A3F9C-21FD-435A-9390-75940518EB52}">
      <formula1>$AI$4:$AI$12</formula1>
    </dataValidation>
    <dataValidation type="list" allowBlank="1" showInputMessage="1" showErrorMessage="1" sqref="H3:H42" xr:uid="{57979577-91CB-438E-B610-7404E4FAE23A}">
      <formula1>$AL$4:$AL$8</formula1>
    </dataValidation>
    <dataValidation type="list" allowBlank="1" showInputMessage="1" showErrorMessage="1" sqref="D3:D42" xr:uid="{9338B3C0-6C76-4E0C-B7D5-5FA6424EFD5E}">
      <formula1>$AH$4:$AH$12</formula1>
    </dataValidation>
    <dataValidation type="list" allowBlank="1" showInputMessage="1" showErrorMessage="1" sqref="O3:O42" xr:uid="{2196EEE8-3493-4B11-98F2-E28516425607}">
      <formula1>$AQ$4:$AQ$9</formula1>
    </dataValidation>
    <dataValidation type="list" allowBlank="1" showInputMessage="1" showErrorMessage="1" sqref="G3:G42" xr:uid="{F8EEE948-7176-4395-BAED-6A185EEA0175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9982-8F59-468B-B0EB-88D1D43425F9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157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BF11A58B-F082-4EFD-B12A-E5907A27E1DF}">
      <formula1>$AG$4:$AG$6</formula1>
    </dataValidation>
    <dataValidation type="list" allowBlank="1" showInputMessage="1" showErrorMessage="1" sqref="K3:K42" xr:uid="{2AAE6537-A844-48AF-BA89-AE5165587686}">
      <formula1>$AJ$4:$AJ$5</formula1>
    </dataValidation>
    <dataValidation type="list" allowBlank="1" showInputMessage="1" showErrorMessage="1" sqref="N3:N42" xr:uid="{5B81193B-033B-444F-A28A-E5826952C057}">
      <formula1>$AO$4:$AO$5</formula1>
    </dataValidation>
    <dataValidation type="list" allowBlank="1" showInputMessage="1" showErrorMessage="1" sqref="L3:L42" xr:uid="{915D0A88-AC3E-4E05-9660-934318D524F4}">
      <formula1>$AP$4:$AP$19</formula1>
    </dataValidation>
    <dataValidation type="list" allowBlank="1" showInputMessage="1" showErrorMessage="1" sqref="J3:J42" xr:uid="{87745BB0-E87F-4BBB-AED6-FF23DBA817BD}">
      <formula1>$AM$4:$AM$4</formula1>
    </dataValidation>
    <dataValidation type="list" allowBlank="1" showInputMessage="1" showErrorMessage="1" sqref="M3:M42" xr:uid="{A7BF1386-C8D0-4B8D-8E24-61B3EB71FDB8}">
      <formula1>$AN$4:$AN$14</formula1>
    </dataValidation>
    <dataValidation type="list" allowBlank="1" showInputMessage="1" showErrorMessage="1" sqref="F3:F42" xr:uid="{8FCCB91B-B17D-4409-B557-0792AB875BE3}">
      <formula1>$AK$4:$AK$12</formula1>
    </dataValidation>
    <dataValidation type="list" allowBlank="1" showInputMessage="1" showErrorMessage="1" sqref="E3:E42" xr:uid="{A6061AB1-15DD-4244-B29F-A950A87AEA79}">
      <formula1>$AI$4:$AI$12</formula1>
    </dataValidation>
    <dataValidation type="list" allowBlank="1" showInputMessage="1" showErrorMessage="1" sqref="H3:H42" xr:uid="{72F4B7B2-C9F5-4361-A643-8DDDD7C1F6E7}">
      <formula1>$AL$4:$AL$8</formula1>
    </dataValidation>
    <dataValidation type="list" allowBlank="1" showInputMessage="1" showErrorMessage="1" sqref="D3:D42" xr:uid="{E37F0452-A9F4-47B2-B66C-6EA2DA54E4C3}">
      <formula1>$AH$4:$AH$12</formula1>
    </dataValidation>
    <dataValidation type="list" allowBlank="1" showInputMessage="1" showErrorMessage="1" sqref="O3:O42" xr:uid="{C29CC4BC-C55B-4DBA-B7D7-6EBE9DC73FB9}">
      <formula1>$AQ$4:$AQ$9</formula1>
    </dataValidation>
    <dataValidation type="list" allowBlank="1" showInputMessage="1" showErrorMessage="1" sqref="G3:G42" xr:uid="{030DE75D-F9A4-4F45-AC35-6FC92C557ACB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ACF-E9D6-4C15-BBDD-59335D7CA00F}">
  <dimension ref="A1:AQ51"/>
  <sheetViews>
    <sheetView tabSelected="1" zoomScale="90" zoomScaleNormal="90" workbookViewId="0">
      <pane ySplit="2" topLeftCell="A6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158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M3:M42" xr:uid="{A04F380D-AEEC-4AC6-B8AD-C49FD38FE391}">
      <formula1>$AN$4:$AN$14</formula1>
    </dataValidation>
    <dataValidation type="list" allowBlank="1" showInputMessage="1" showErrorMessage="1" sqref="J3:J42" xr:uid="{D1831CD0-8F33-4900-A6E1-B592E02CE39D}">
      <formula1>$AM$4:$AM$4</formula1>
    </dataValidation>
    <dataValidation type="list" allowBlank="1" showInputMessage="1" showErrorMessage="1" sqref="L3:L42" xr:uid="{52612E6B-A2ED-4B10-B87E-A38DE2432D1B}">
      <formula1>$AP$4:$AP$19</formula1>
    </dataValidation>
    <dataValidation type="list" allowBlank="1" showInputMessage="1" showErrorMessage="1" sqref="N3:N42" xr:uid="{4281EE34-7B20-4328-8DCD-3AE9AC70421C}">
      <formula1>$AO$4:$AO$5</formula1>
    </dataValidation>
    <dataValidation type="list" allowBlank="1" showInputMessage="1" showErrorMessage="1" sqref="K3:K42" xr:uid="{52493C45-3EDE-4F29-80CC-013C3BF238BA}">
      <formula1>$AJ$4:$AJ$5</formula1>
    </dataValidation>
    <dataValidation type="list" allowBlank="1" showInputMessage="1" showErrorMessage="1" sqref="C3:C42" xr:uid="{D3B9B757-A91E-4580-9ED3-173570B9808E}">
      <formula1>$AG$4:$AG$6</formula1>
    </dataValidation>
    <dataValidation type="list" allowBlank="1" showInputMessage="1" showErrorMessage="1" sqref="F3:F42" xr:uid="{8868C99C-1BBC-430D-A8BC-EC1ECC93EC68}">
      <formula1>$AK$4:$AK$12</formula1>
    </dataValidation>
    <dataValidation type="list" allowBlank="1" showInputMessage="1" showErrorMessage="1" sqref="E3:E42" xr:uid="{B85EBCA2-B6AB-4ED0-87B2-BCBED8366275}">
      <formula1>$AI$4:$AI$12</formula1>
    </dataValidation>
    <dataValidation type="list" allowBlank="1" showInputMessage="1" showErrorMessage="1" sqref="H3:H42" xr:uid="{401A0AFC-56A6-4D5B-A128-8CA7947729CA}">
      <formula1>$AL$4:$AL$8</formula1>
    </dataValidation>
    <dataValidation type="list" allowBlank="1" showInputMessage="1" showErrorMessage="1" sqref="D3:D42" xr:uid="{F894426B-42B8-4E81-B340-246B14811E6E}">
      <formula1>$AH$4:$AH$12</formula1>
    </dataValidation>
    <dataValidation type="list" allowBlank="1" showInputMessage="1" showErrorMessage="1" sqref="O3:O42" xr:uid="{1D86A5F6-F7B2-41C8-9CF2-0AB54713AD35}">
      <formula1>$AQ$4:$AQ$9</formula1>
    </dataValidation>
    <dataValidation type="list" allowBlank="1" showInputMessage="1" showErrorMessage="1" sqref="G3:G42" xr:uid="{3B2C5801-424C-4301-AE5E-BB35CFC59CAD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753B-B80C-40CA-9CC1-9F8823B03B4C}">
  <dimension ref="A1:AQ51"/>
  <sheetViews>
    <sheetView tabSelected="1" zoomScale="90" zoomScaleNormal="90" workbookViewId="0">
      <pane ySplit="2" topLeftCell="A3" activePane="bottomLeft" state="frozen"/>
      <selection activeCell="Q34" sqref="Q34"/>
      <selection pane="bottomLeft" activeCell="Q34" sqref="Q34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6.2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1.375" customWidth="1"/>
    <col min="18" max="18" width="9.375" bestFit="1" customWidth="1"/>
    <col min="19" max="19" width="1.375" customWidth="1"/>
    <col min="20" max="20" width="8.375" customWidth="1"/>
    <col min="21" max="22" width="9.25" customWidth="1"/>
    <col min="23" max="23" width="5.5" customWidth="1"/>
    <col min="24" max="24" width="5" customWidth="1"/>
    <col min="25" max="25" width="4.5" customWidth="1"/>
    <col min="26" max="26" width="4.125" customWidth="1"/>
    <col min="27" max="27" width="4.25" customWidth="1"/>
    <col min="28" max="28" width="4.875" customWidth="1"/>
    <col min="29" max="29" width="2.625" customWidth="1"/>
    <col min="30" max="31" width="4.375" customWidth="1"/>
    <col min="33" max="33" width="4.625" customWidth="1"/>
    <col min="34" max="34" width="7.25" customWidth="1"/>
    <col min="35" max="35" width="5.625" customWidth="1"/>
    <col min="36" max="36" width="4.375" customWidth="1"/>
    <col min="37" max="38" width="6.375" customWidth="1"/>
    <col min="39" max="39" width="3.75" customWidth="1"/>
    <col min="40" max="40" width="4.5" customWidth="1"/>
    <col min="41" max="41" width="4.125" customWidth="1"/>
    <col min="42" max="42" width="4.75" customWidth="1"/>
    <col min="43" max="43" width="9.5" customWidth="1"/>
  </cols>
  <sheetData>
    <row r="1" spans="1:43" ht="19.5" thickBot="1" x14ac:dyDescent="0.45">
      <c r="A1" s="229" t="s">
        <v>60</v>
      </c>
      <c r="B1" s="229"/>
      <c r="C1" s="230" t="s">
        <v>159</v>
      </c>
      <c r="D1" s="230"/>
      <c r="E1" s="230"/>
      <c r="F1" s="230"/>
      <c r="G1" s="230"/>
    </row>
    <row r="2" spans="1:43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120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S2" s="14"/>
      <c r="V2" s="14"/>
      <c r="W2" s="14"/>
    </row>
    <row r="3" spans="1:43" ht="19.5" thickBot="1" x14ac:dyDescent="0.45">
      <c r="A3" s="145">
        <v>1</v>
      </c>
      <c r="B3" s="7"/>
      <c r="C3" s="4"/>
      <c r="D3" s="4"/>
      <c r="E3" s="15"/>
      <c r="F3" s="53"/>
      <c r="G3" s="53"/>
      <c r="H3" s="55"/>
      <c r="I3" s="30">
        <f>SUM(F3,G3,H3)</f>
        <v>0</v>
      </c>
      <c r="J3" s="15"/>
      <c r="K3" s="15"/>
      <c r="L3" s="15"/>
      <c r="M3" s="15"/>
      <c r="N3" s="7"/>
      <c r="O3" s="67"/>
      <c r="P3" s="77"/>
      <c r="Q3" s="41">
        <v>600</v>
      </c>
      <c r="R3" s="78">
        <f t="shared" ref="R3:R8" si="0">SUMIF($F$3:$F$42,Q3,$F$3:$F$42)</f>
        <v>0</v>
      </c>
      <c r="S3" s="73"/>
      <c r="V3" s="73"/>
      <c r="W3" s="148" t="s">
        <v>50</v>
      </c>
      <c r="X3" s="17" t="s">
        <v>2</v>
      </c>
      <c r="Y3" s="149" t="s">
        <v>6</v>
      </c>
      <c r="Z3" s="165" t="s">
        <v>54</v>
      </c>
      <c r="AA3" s="165" t="s">
        <v>53</v>
      </c>
      <c r="AB3" s="149" t="s">
        <v>95</v>
      </c>
      <c r="AC3" s="19"/>
      <c r="AD3" s="138" t="s">
        <v>98</v>
      </c>
      <c r="AE3" s="138" t="s">
        <v>100</v>
      </c>
      <c r="AG3" s="3" t="s">
        <v>8</v>
      </c>
      <c r="AH3" s="3" t="s">
        <v>1</v>
      </c>
      <c r="AI3" s="2" t="s">
        <v>2</v>
      </c>
      <c r="AJ3" s="8" t="s">
        <v>3</v>
      </c>
      <c r="AK3" s="8" t="s">
        <v>18</v>
      </c>
      <c r="AL3" s="8" t="s">
        <v>64</v>
      </c>
      <c r="AM3" s="8" t="s">
        <v>31</v>
      </c>
      <c r="AN3" s="8" t="s">
        <v>4</v>
      </c>
      <c r="AO3" s="9" t="s">
        <v>19</v>
      </c>
      <c r="AP3" s="8" t="s">
        <v>6</v>
      </c>
      <c r="AQ3" s="2" t="s">
        <v>7</v>
      </c>
    </row>
    <row r="4" spans="1:43" ht="19.5" thickBot="1" x14ac:dyDescent="0.45">
      <c r="A4" s="145">
        <v>2</v>
      </c>
      <c r="B4" s="7"/>
      <c r="C4" s="4"/>
      <c r="D4" s="4"/>
      <c r="E4" s="15"/>
      <c r="F4" s="53"/>
      <c r="G4" s="53"/>
      <c r="H4" s="55"/>
      <c r="I4" s="30">
        <f t="shared" ref="I4:I42" si="1">SUM(F4,G4,H4)</f>
        <v>0</v>
      </c>
      <c r="J4" s="15"/>
      <c r="K4" s="15"/>
      <c r="L4" s="15"/>
      <c r="M4" s="15"/>
      <c r="N4" s="7"/>
      <c r="O4" s="67"/>
      <c r="Q4" s="80">
        <v>700</v>
      </c>
      <c r="R4" s="42">
        <f t="shared" si="0"/>
        <v>0</v>
      </c>
      <c r="S4" s="73"/>
      <c r="V4" s="73"/>
      <c r="W4" s="40" t="s">
        <v>9</v>
      </c>
      <c r="X4" s="52">
        <v>15</v>
      </c>
      <c r="Y4" s="150" t="s">
        <v>32</v>
      </c>
      <c r="Z4" s="151" t="s">
        <v>78</v>
      </c>
      <c r="AA4" s="152" t="s">
        <v>20</v>
      </c>
      <c r="AB4" s="153"/>
      <c r="AC4" s="141"/>
      <c r="AD4" s="138" t="s">
        <v>99</v>
      </c>
      <c r="AE4" s="139" t="str">
        <f>HYPERLINK("#"&amp;AD4&amp;"!A1",AD4)</f>
        <v>月データ</v>
      </c>
      <c r="AG4" s="3" t="s">
        <v>68</v>
      </c>
      <c r="AH4" s="17" t="s">
        <v>9</v>
      </c>
      <c r="AI4" s="2">
        <v>15</v>
      </c>
      <c r="AJ4" s="2" t="s">
        <v>16</v>
      </c>
      <c r="AK4" s="194" t="s">
        <v>9</v>
      </c>
      <c r="AL4" s="195" t="s">
        <v>66</v>
      </c>
      <c r="AM4" s="11" t="s">
        <v>72</v>
      </c>
      <c r="AN4" s="2" t="s">
        <v>78</v>
      </c>
      <c r="AO4" s="11" t="s">
        <v>20</v>
      </c>
      <c r="AP4" s="2" t="s">
        <v>32</v>
      </c>
      <c r="AQ4" s="71" t="s">
        <v>74</v>
      </c>
    </row>
    <row r="5" spans="1:43" ht="19.5" thickBot="1" x14ac:dyDescent="0.45">
      <c r="A5" s="145">
        <v>3</v>
      </c>
      <c r="B5" s="7"/>
      <c r="C5" s="4"/>
      <c r="D5" s="4"/>
      <c r="E5" s="15"/>
      <c r="F5" s="53"/>
      <c r="G5" s="53"/>
      <c r="H5" s="55"/>
      <c r="I5" s="30">
        <f t="shared" si="1"/>
        <v>0</v>
      </c>
      <c r="J5" s="15"/>
      <c r="K5" s="15"/>
      <c r="L5" s="15"/>
      <c r="M5" s="15"/>
      <c r="N5" s="7"/>
      <c r="O5" s="67"/>
      <c r="Q5" s="41">
        <v>900</v>
      </c>
      <c r="R5" s="42">
        <f t="shared" si="0"/>
        <v>0</v>
      </c>
      <c r="S5" s="73"/>
      <c r="V5" s="73"/>
      <c r="W5" s="154">
        <f>COUNTIF($D$3:$D$42,W4)</f>
        <v>0</v>
      </c>
      <c r="X5" s="154">
        <f>COUNTIF($E$3:$E$42,X4)</f>
        <v>0</v>
      </c>
      <c r="Y5" s="154">
        <f>COUNTIF($L$3:$L$42,AP4)</f>
        <v>0</v>
      </c>
      <c r="Z5" s="154">
        <f>COUNTIF($M$3:$M$42,Z4)</f>
        <v>0</v>
      </c>
      <c r="AA5" s="154">
        <f>COUNTIF($N$3:$N$42,AA4)</f>
        <v>0</v>
      </c>
      <c r="AB5" s="149" t="s">
        <v>96</v>
      </c>
      <c r="AC5" s="61"/>
      <c r="AD5" s="136">
        <v>1</v>
      </c>
      <c r="AE5" s="137">
        <f t="shared" ref="AE5:AE35" si="2">HYPERLINK("#"&amp;AD5&amp;"!A1",AD5)</f>
        <v>1</v>
      </c>
      <c r="AG5" s="3" t="s">
        <v>69</v>
      </c>
      <c r="AH5" s="17" t="s">
        <v>107</v>
      </c>
      <c r="AI5" s="2">
        <v>20</v>
      </c>
      <c r="AJ5" s="3" t="s">
        <v>17</v>
      </c>
      <c r="AK5" s="192">
        <v>0</v>
      </c>
      <c r="AL5" s="5">
        <v>300</v>
      </c>
      <c r="AN5" s="2" t="s">
        <v>76</v>
      </c>
      <c r="AO5" s="11" t="s">
        <v>21</v>
      </c>
      <c r="AP5" s="2" t="s">
        <v>44</v>
      </c>
      <c r="AQ5" s="204" t="s">
        <v>123</v>
      </c>
    </row>
    <row r="6" spans="1:43" ht="19.5" thickBot="1" x14ac:dyDescent="0.45">
      <c r="A6" s="145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1600</v>
      </c>
      <c r="R6" s="42">
        <f t="shared" si="0"/>
        <v>0</v>
      </c>
      <c r="S6" s="73"/>
      <c r="V6" s="73"/>
      <c r="W6" s="40" t="s">
        <v>105</v>
      </c>
      <c r="X6" s="52">
        <v>20</v>
      </c>
      <c r="Y6" s="150" t="s">
        <v>44</v>
      </c>
      <c r="Z6" s="151" t="s">
        <v>76</v>
      </c>
      <c r="AA6" s="155" t="s">
        <v>21</v>
      </c>
      <c r="AB6" s="156"/>
      <c r="AC6" s="141"/>
      <c r="AD6" s="136">
        <v>2</v>
      </c>
      <c r="AE6" s="137">
        <f t="shared" si="2"/>
        <v>2</v>
      </c>
      <c r="AG6" s="3" t="s">
        <v>70</v>
      </c>
      <c r="AH6" s="17" t="s">
        <v>105</v>
      </c>
      <c r="AI6" s="2">
        <v>30</v>
      </c>
      <c r="AK6" s="5">
        <v>600</v>
      </c>
      <c r="AL6" s="5">
        <v>500</v>
      </c>
      <c r="AN6" s="2" t="s">
        <v>77</v>
      </c>
      <c r="AP6" s="2">
        <v>2</v>
      </c>
      <c r="AQ6" s="72" t="s">
        <v>126</v>
      </c>
    </row>
    <row r="7" spans="1:43" ht="19.5" thickBot="1" x14ac:dyDescent="0.45">
      <c r="A7" s="145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1700</v>
      </c>
      <c r="R7" s="42">
        <f t="shared" si="0"/>
        <v>0</v>
      </c>
      <c r="S7" s="73"/>
      <c r="V7" s="73"/>
      <c r="W7" s="154">
        <f>COUNTIF($D$3:$D$42,W6)</f>
        <v>0</v>
      </c>
      <c r="X7" s="154">
        <f>COUNTIF($E$3:$E$42,X6)</f>
        <v>0</v>
      </c>
      <c r="Y7" s="154">
        <f>COUNTIF($L$3:$L$42,AP5)</f>
        <v>0</v>
      </c>
      <c r="Z7" s="154">
        <f>COUNTIF($M$3:$M$42,Z6)</f>
        <v>0</v>
      </c>
      <c r="AA7" s="154">
        <f>COUNTIF($N$3:$N$42,AA6)</f>
        <v>0</v>
      </c>
      <c r="AB7" s="166" t="s">
        <v>97</v>
      </c>
      <c r="AC7" s="140"/>
      <c r="AD7" s="136">
        <v>3</v>
      </c>
      <c r="AE7" s="137">
        <f t="shared" si="2"/>
        <v>3</v>
      </c>
      <c r="AH7" s="17" t="s">
        <v>125</v>
      </c>
      <c r="AI7" s="2">
        <v>40</v>
      </c>
      <c r="AK7" s="5">
        <v>700</v>
      </c>
      <c r="AL7" s="5">
        <v>800</v>
      </c>
      <c r="AN7" s="2" t="s">
        <v>22</v>
      </c>
      <c r="AP7" s="2">
        <v>3</v>
      </c>
      <c r="AQ7" s="72" t="s">
        <v>122</v>
      </c>
    </row>
    <row r="8" spans="1:43" ht="19.5" thickBot="1" x14ac:dyDescent="0.45">
      <c r="A8" s="145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1900</v>
      </c>
      <c r="R8" s="42">
        <f t="shared" si="0"/>
        <v>0</v>
      </c>
      <c r="S8" s="73"/>
      <c r="V8" s="73"/>
      <c r="W8" s="164" t="s">
        <v>115</v>
      </c>
      <c r="X8" s="52">
        <v>30</v>
      </c>
      <c r="Y8" s="150">
        <v>2</v>
      </c>
      <c r="Z8" s="151" t="s">
        <v>77</v>
      </c>
      <c r="AA8" s="157"/>
      <c r="AB8" s="202"/>
      <c r="AC8" s="142"/>
      <c r="AD8" s="136">
        <v>4</v>
      </c>
      <c r="AE8" s="137">
        <f t="shared" si="2"/>
        <v>4</v>
      </c>
      <c r="AH8" s="149" t="s">
        <v>115</v>
      </c>
      <c r="AI8" s="2">
        <v>50</v>
      </c>
      <c r="AK8" s="5">
        <v>900</v>
      </c>
      <c r="AL8" s="5"/>
      <c r="AN8" s="2" t="s">
        <v>23</v>
      </c>
      <c r="AP8" s="2">
        <v>4</v>
      </c>
      <c r="AQ8" s="72" t="s">
        <v>127</v>
      </c>
    </row>
    <row r="9" spans="1:43" ht="19.5" thickBot="1" x14ac:dyDescent="0.45">
      <c r="A9" s="145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V9" s="64"/>
      <c r="W9" s="154">
        <f>COUNTIF($D$3:$D$42,W8)</f>
        <v>0</v>
      </c>
      <c r="X9" s="154">
        <f>COUNTIF($E$3:$E$42,X8)</f>
        <v>0</v>
      </c>
      <c r="Y9" s="154">
        <f>COUNTIF($L$3:$L$42,AP6)</f>
        <v>0</v>
      </c>
      <c r="Z9" s="154">
        <f>COUNTIF($M$3:$M$42,Z8)</f>
        <v>0</v>
      </c>
      <c r="AA9" s="157"/>
      <c r="AB9" s="157"/>
      <c r="AC9" s="14"/>
      <c r="AD9" s="136">
        <v>5</v>
      </c>
      <c r="AE9" s="137">
        <f t="shared" si="2"/>
        <v>5</v>
      </c>
      <c r="AH9" s="17" t="s">
        <v>12</v>
      </c>
      <c r="AI9" s="2">
        <v>60</v>
      </c>
      <c r="AK9" s="191" t="s">
        <v>59</v>
      </c>
      <c r="AN9" s="2" t="s">
        <v>24</v>
      </c>
      <c r="AP9" s="2" t="s">
        <v>33</v>
      </c>
      <c r="AQ9" s="2" t="s">
        <v>114</v>
      </c>
    </row>
    <row r="10" spans="1:43" ht="19.5" thickBot="1" x14ac:dyDescent="0.45">
      <c r="A10" s="145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W10" s="163" t="s">
        <v>12</v>
      </c>
      <c r="X10" s="52">
        <v>40</v>
      </c>
      <c r="Y10" s="150">
        <v>3</v>
      </c>
      <c r="Z10" s="151" t="s">
        <v>22</v>
      </c>
      <c r="AA10" s="159"/>
      <c r="AB10" s="159"/>
      <c r="AD10" s="136">
        <v>6</v>
      </c>
      <c r="AE10" s="137">
        <f t="shared" si="2"/>
        <v>6</v>
      </c>
      <c r="AH10" s="17" t="s">
        <v>13</v>
      </c>
      <c r="AI10" s="2">
        <v>70</v>
      </c>
      <c r="AK10" s="5">
        <v>1600</v>
      </c>
      <c r="AN10" s="2" t="s">
        <v>27</v>
      </c>
      <c r="AP10" s="5" t="s">
        <v>34</v>
      </c>
    </row>
    <row r="11" spans="1:43" ht="19.5" thickBot="1" x14ac:dyDescent="0.45">
      <c r="A11" s="145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W11" s="154">
        <f>COUNTIF($D$3:$D$42,W10)</f>
        <v>0</v>
      </c>
      <c r="X11" s="154">
        <f>COUNTIF($E$3:$E$42,X10)</f>
        <v>0</v>
      </c>
      <c r="Y11" s="154">
        <f>COUNTIF($L$3:$L$42,AP7)</f>
        <v>0</v>
      </c>
      <c r="Z11" s="154">
        <f>COUNTIF($M$3:$M$42,Z10)</f>
        <v>0</v>
      </c>
      <c r="AA11" s="159"/>
      <c r="AB11" s="159"/>
      <c r="AD11" s="136">
        <v>7</v>
      </c>
      <c r="AE11" s="137">
        <f t="shared" si="2"/>
        <v>7</v>
      </c>
      <c r="AH11" s="149" t="s">
        <v>11</v>
      </c>
      <c r="AI11" s="2">
        <v>80</v>
      </c>
      <c r="AK11" s="5">
        <v>1700</v>
      </c>
      <c r="AL11" s="45"/>
      <c r="AN11" s="2" t="s">
        <v>26</v>
      </c>
      <c r="AP11" s="5" t="s">
        <v>35</v>
      </c>
    </row>
    <row r="12" spans="1:43" ht="19.5" thickBot="1" x14ac:dyDescent="0.45">
      <c r="A12" s="145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1000</v>
      </c>
      <c r="R12" s="42">
        <f t="shared" ref="R12:R33" si="3">SUMIF($G$3:$G$42,Q12,$G$3:$G$42)</f>
        <v>0</v>
      </c>
      <c r="S12" s="73"/>
      <c r="V12" s="73"/>
      <c r="W12" s="164" t="s">
        <v>13</v>
      </c>
      <c r="X12" s="52">
        <v>50</v>
      </c>
      <c r="Y12" s="150">
        <v>4</v>
      </c>
      <c r="Z12" s="151" t="s">
        <v>55</v>
      </c>
      <c r="AA12" s="159"/>
      <c r="AB12" s="159"/>
      <c r="AD12" s="136">
        <v>8</v>
      </c>
      <c r="AE12" s="137">
        <f t="shared" si="2"/>
        <v>8</v>
      </c>
      <c r="AH12" s="149" t="s">
        <v>73</v>
      </c>
      <c r="AI12" s="2">
        <v>90</v>
      </c>
      <c r="AK12" s="5">
        <v>1900</v>
      </c>
      <c r="AL12" s="45"/>
      <c r="AN12" s="2" t="s">
        <v>28</v>
      </c>
      <c r="AP12" s="2" t="s">
        <v>36</v>
      </c>
    </row>
    <row r="13" spans="1:43" ht="19.5" thickBot="1" x14ac:dyDescent="0.45">
      <c r="A13" s="145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2000</v>
      </c>
      <c r="R13" s="42">
        <f t="shared" si="3"/>
        <v>0</v>
      </c>
      <c r="S13" s="73"/>
      <c r="V13" s="73"/>
      <c r="W13" s="154">
        <f>COUNTIF($D$3:$D$42,W12)</f>
        <v>0</v>
      </c>
      <c r="X13" s="154">
        <f>COUNTIF($E$3:$E$42,X12)</f>
        <v>0</v>
      </c>
      <c r="Y13" s="154">
        <f>COUNTIF($L$3:$L$42,AP8)</f>
        <v>0</v>
      </c>
      <c r="Z13" s="154">
        <f>COUNTIF($M$3:$M$42,Z12)</f>
        <v>0</v>
      </c>
      <c r="AA13" s="159"/>
      <c r="AB13" s="159"/>
      <c r="AD13" s="136">
        <v>9</v>
      </c>
      <c r="AE13" s="137">
        <f t="shared" si="2"/>
        <v>9</v>
      </c>
      <c r="AK13" s="191" t="s">
        <v>118</v>
      </c>
      <c r="AL13" s="45"/>
      <c r="AN13" s="2" t="s">
        <v>29</v>
      </c>
      <c r="AP13" s="8" t="s">
        <v>37</v>
      </c>
    </row>
    <row r="14" spans="1:43" ht="19.5" thickBot="1" x14ac:dyDescent="0.45">
      <c r="A14" s="145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3000</v>
      </c>
      <c r="R14" s="42">
        <f t="shared" si="3"/>
        <v>0</v>
      </c>
      <c r="S14" s="73"/>
      <c r="V14" s="73"/>
      <c r="W14" s="40" t="s">
        <v>11</v>
      </c>
      <c r="X14" s="52">
        <v>60</v>
      </c>
      <c r="Y14" s="150" t="s">
        <v>33</v>
      </c>
      <c r="Z14" s="151" t="s">
        <v>56</v>
      </c>
      <c r="AA14" s="159"/>
      <c r="AB14" s="159"/>
      <c r="AD14" s="136">
        <v>10</v>
      </c>
      <c r="AE14" s="137">
        <f t="shared" si="2"/>
        <v>10</v>
      </c>
      <c r="AK14" s="5">
        <v>1000</v>
      </c>
      <c r="AL14" s="45"/>
      <c r="AN14" s="2" t="s">
        <v>25</v>
      </c>
      <c r="AP14" s="12" t="s">
        <v>38</v>
      </c>
    </row>
    <row r="15" spans="1:43" ht="19.5" thickBot="1" x14ac:dyDescent="0.45">
      <c r="A15" s="145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4000</v>
      </c>
      <c r="R15" s="42">
        <f t="shared" si="3"/>
        <v>0</v>
      </c>
      <c r="S15" s="73"/>
      <c r="V15" s="73"/>
      <c r="W15" s="154">
        <f>COUNTIF($D$3:$D$42,W14)</f>
        <v>0</v>
      </c>
      <c r="X15" s="154">
        <f>COUNTIF($E$3:$E$42,X14)</f>
        <v>0</v>
      </c>
      <c r="Y15" s="154">
        <f>COUNTIF($L$3:$L$42,AP9)</f>
        <v>0</v>
      </c>
      <c r="Z15" s="154">
        <f>COUNTIF($M$3:$M$42,Z14)</f>
        <v>0</v>
      </c>
      <c r="AA15" s="159"/>
      <c r="AB15" s="159"/>
      <c r="AD15" s="136">
        <v>11</v>
      </c>
      <c r="AE15" s="137">
        <f t="shared" si="2"/>
        <v>11</v>
      </c>
      <c r="AK15" s="5">
        <v>2000</v>
      </c>
      <c r="AL15" s="45"/>
      <c r="AP15" s="8" t="s">
        <v>39</v>
      </c>
    </row>
    <row r="16" spans="1:43" ht="19.5" thickBot="1" x14ac:dyDescent="0.45">
      <c r="A16" s="145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5000</v>
      </c>
      <c r="R16" s="42">
        <f t="shared" si="3"/>
        <v>0</v>
      </c>
      <c r="S16" s="73"/>
      <c r="V16" s="73"/>
      <c r="W16" s="40" t="s">
        <v>106</v>
      </c>
      <c r="X16" s="52">
        <v>70</v>
      </c>
      <c r="Y16" s="160" t="s">
        <v>34</v>
      </c>
      <c r="Z16" s="151" t="s">
        <v>27</v>
      </c>
      <c r="AA16" s="159"/>
      <c r="AB16" s="159"/>
      <c r="AD16" s="136">
        <v>12</v>
      </c>
      <c r="AE16" s="137">
        <f t="shared" si="2"/>
        <v>12</v>
      </c>
      <c r="AK16" s="5">
        <v>3000</v>
      </c>
      <c r="AL16" s="45"/>
      <c r="AP16" s="6" t="s">
        <v>40</v>
      </c>
    </row>
    <row r="17" spans="1:42" ht="19.5" thickBot="1" x14ac:dyDescent="0.45">
      <c r="A17" s="145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6000</v>
      </c>
      <c r="R17" s="42">
        <f t="shared" si="3"/>
        <v>0</v>
      </c>
      <c r="S17" s="73"/>
      <c r="V17" s="73"/>
      <c r="W17" s="154">
        <f>COUNTIF(D3:D42,W16)</f>
        <v>0</v>
      </c>
      <c r="X17" s="154">
        <f>COUNTIF($E$3:$E$42,X16)</f>
        <v>0</v>
      </c>
      <c r="Y17" s="154">
        <f>COUNTIF($L$3:$L$42,AP10)</f>
        <v>0</v>
      </c>
      <c r="Z17" s="154">
        <f>COUNTIF($M$3:$M$42,Z16)</f>
        <v>0</v>
      </c>
      <c r="AA17" s="159"/>
      <c r="AB17" s="159"/>
      <c r="AD17" s="136">
        <v>13</v>
      </c>
      <c r="AE17" s="137">
        <f t="shared" si="2"/>
        <v>13</v>
      </c>
      <c r="AK17" s="5">
        <v>4000</v>
      </c>
      <c r="AL17" s="45"/>
      <c r="AP17" s="13" t="s">
        <v>41</v>
      </c>
    </row>
    <row r="18" spans="1:42" ht="19.5" thickBot="1" x14ac:dyDescent="0.45">
      <c r="A18" s="145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7000</v>
      </c>
      <c r="R18" s="42">
        <f t="shared" si="3"/>
        <v>0</v>
      </c>
      <c r="S18" s="73"/>
      <c r="V18" s="73"/>
      <c r="W18" s="159"/>
      <c r="X18" s="52">
        <v>80</v>
      </c>
      <c r="Y18" s="150" t="s">
        <v>35</v>
      </c>
      <c r="Z18" s="151" t="s">
        <v>57</v>
      </c>
      <c r="AA18" s="159"/>
      <c r="AB18" s="159"/>
      <c r="AD18" s="136">
        <v>14</v>
      </c>
      <c r="AE18" s="137">
        <f t="shared" si="2"/>
        <v>14</v>
      </c>
      <c r="AK18" s="5">
        <v>5000</v>
      </c>
      <c r="AL18" s="46"/>
      <c r="AP18" s="8" t="s">
        <v>42</v>
      </c>
    </row>
    <row r="19" spans="1:42" ht="19.5" thickBot="1" x14ac:dyDescent="0.45">
      <c r="A19" s="145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8000</v>
      </c>
      <c r="R19" s="42">
        <f t="shared" si="3"/>
        <v>0</v>
      </c>
      <c r="S19" s="73"/>
      <c r="V19" s="73"/>
      <c r="W19" s="159"/>
      <c r="X19" s="154">
        <f>COUNTIF($E$3:$E$42,X18)</f>
        <v>0</v>
      </c>
      <c r="Y19" s="154">
        <f>COUNTIF($L$3:$L$42,AP11)</f>
        <v>0</v>
      </c>
      <c r="Z19" s="154">
        <f>COUNTIF($M$3:$M$42,Z18)</f>
        <v>0</v>
      </c>
      <c r="AA19" s="159"/>
      <c r="AB19" s="159"/>
      <c r="AD19" s="136">
        <v>15</v>
      </c>
      <c r="AE19" s="137">
        <f t="shared" si="2"/>
        <v>15</v>
      </c>
      <c r="AK19" s="5">
        <v>6000</v>
      </c>
      <c r="AL19" s="45"/>
      <c r="AP19" s="8" t="s">
        <v>43</v>
      </c>
    </row>
    <row r="20" spans="1:42" ht="19.5" thickBot="1" x14ac:dyDescent="0.45">
      <c r="A20" s="145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9000</v>
      </c>
      <c r="R20" s="42">
        <f t="shared" si="3"/>
        <v>0</v>
      </c>
      <c r="S20" s="73"/>
      <c r="V20" s="168"/>
      <c r="W20" s="159"/>
      <c r="X20" s="52">
        <v>90</v>
      </c>
      <c r="Y20" s="150" t="s">
        <v>39</v>
      </c>
      <c r="Z20" s="151" t="s">
        <v>28</v>
      </c>
      <c r="AA20" s="159"/>
      <c r="AB20" s="159"/>
      <c r="AD20" s="136">
        <v>16</v>
      </c>
      <c r="AE20" s="137">
        <f t="shared" si="2"/>
        <v>16</v>
      </c>
      <c r="AK20" s="5">
        <v>7000</v>
      </c>
      <c r="AL20" s="45"/>
    </row>
    <row r="21" spans="1:42" ht="19.5" thickBot="1" x14ac:dyDescent="0.45">
      <c r="A21" s="145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10000</v>
      </c>
      <c r="R21" s="42">
        <f t="shared" si="3"/>
        <v>0</v>
      </c>
      <c r="S21" s="73"/>
      <c r="T21" s="50" t="s">
        <v>67</v>
      </c>
      <c r="W21" s="159"/>
      <c r="X21" s="154">
        <f>COUNTIF($E$3:$E$42,X20)</f>
        <v>0</v>
      </c>
      <c r="Y21" s="154">
        <f>COUNTIF($L$3:$L$42,AP15)</f>
        <v>0</v>
      </c>
      <c r="Z21" s="154">
        <f>COUNTIF($M$3:$M$42,Z20)</f>
        <v>0</v>
      </c>
      <c r="AA21" s="159"/>
      <c r="AB21" s="159"/>
      <c r="AD21" s="136">
        <v>17</v>
      </c>
      <c r="AE21" s="137">
        <f t="shared" si="2"/>
        <v>17</v>
      </c>
      <c r="AK21" s="5">
        <v>8000</v>
      </c>
      <c r="AL21" s="45"/>
    </row>
    <row r="22" spans="1:42" ht="19.5" thickBot="1" x14ac:dyDescent="0.45">
      <c r="A22" s="145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11000</v>
      </c>
      <c r="R22" s="42">
        <f t="shared" si="3"/>
        <v>0</v>
      </c>
      <c r="S22" s="73"/>
      <c r="T22" s="41">
        <v>2500</v>
      </c>
      <c r="U22" s="42">
        <f t="shared" ref="U22:U33" si="4">SUMIF($G$3:$G$42,T22,$G$3:$G$42)</f>
        <v>0</v>
      </c>
      <c r="W22" s="159"/>
      <c r="X22" s="159"/>
      <c r="Y22" s="150" t="s">
        <v>36</v>
      </c>
      <c r="Z22" s="161" t="s">
        <v>29</v>
      </c>
      <c r="AA22" s="159"/>
      <c r="AB22" s="159"/>
      <c r="AD22" s="136">
        <v>18</v>
      </c>
      <c r="AE22" s="137">
        <f t="shared" si="2"/>
        <v>18</v>
      </c>
      <c r="AK22" s="5">
        <v>9000</v>
      </c>
      <c r="AL22" s="47"/>
    </row>
    <row r="23" spans="1:42" ht="19.5" thickBot="1" x14ac:dyDescent="0.45">
      <c r="A23" s="145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12000</v>
      </c>
      <c r="R23" s="42">
        <f t="shared" si="3"/>
        <v>0</v>
      </c>
      <c r="S23" s="73"/>
      <c r="T23" s="41">
        <v>2800</v>
      </c>
      <c r="U23" s="42">
        <f t="shared" si="4"/>
        <v>0</v>
      </c>
      <c r="W23" s="159"/>
      <c r="X23" s="159"/>
      <c r="Y23" s="154">
        <f>COUNTIF($L$3:$L$42,AP12)</f>
        <v>0</v>
      </c>
      <c r="Z23" s="162">
        <f>COUNTIF($M$3:$M$42,Z22)</f>
        <v>0</v>
      </c>
      <c r="AA23" s="159"/>
      <c r="AB23" s="159"/>
      <c r="AD23" s="136">
        <v>19</v>
      </c>
      <c r="AE23" s="137">
        <f t="shared" si="2"/>
        <v>19</v>
      </c>
      <c r="AK23" s="5">
        <v>10000</v>
      </c>
      <c r="AL23" s="45"/>
    </row>
    <row r="24" spans="1:42" ht="19.5" thickBot="1" x14ac:dyDescent="0.45">
      <c r="A24" s="145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1700</v>
      </c>
      <c r="R24" s="42">
        <f t="shared" si="3"/>
        <v>0</v>
      </c>
      <c r="S24" s="73"/>
      <c r="T24" s="41">
        <v>3800</v>
      </c>
      <c r="U24" s="42">
        <f t="shared" si="4"/>
        <v>0</v>
      </c>
      <c r="W24" s="159"/>
      <c r="X24" s="159"/>
      <c r="Y24" s="150" t="s">
        <v>37</v>
      </c>
      <c r="Z24" s="161" t="s">
        <v>58</v>
      </c>
      <c r="AA24" s="159"/>
      <c r="AB24" s="159"/>
      <c r="AD24" s="136">
        <v>20</v>
      </c>
      <c r="AE24" s="137">
        <f t="shared" si="2"/>
        <v>20</v>
      </c>
      <c r="AK24" s="5">
        <v>11000</v>
      </c>
      <c r="AL24" s="45"/>
    </row>
    <row r="25" spans="1:42" ht="19.5" thickBot="1" x14ac:dyDescent="0.45">
      <c r="A25" s="145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1">
        <v>2700</v>
      </c>
      <c r="R25" s="42">
        <f t="shared" si="3"/>
        <v>0</v>
      </c>
      <c r="S25" s="64"/>
      <c r="T25" s="41">
        <v>4500</v>
      </c>
      <c r="U25" s="42">
        <f t="shared" si="4"/>
        <v>0</v>
      </c>
      <c r="W25" s="159"/>
      <c r="X25" s="159"/>
      <c r="Y25" s="154">
        <f>COUNTIF($L$3:$L$42,AP13)</f>
        <v>0</v>
      </c>
      <c r="Z25" s="162">
        <f>COUNTIF($M$3:$M$42,Z24)</f>
        <v>0</v>
      </c>
      <c r="AA25" s="159"/>
      <c r="AB25" s="159"/>
      <c r="AD25" s="136">
        <v>21</v>
      </c>
      <c r="AE25" s="137">
        <f t="shared" si="2"/>
        <v>21</v>
      </c>
      <c r="AK25" s="196" t="s">
        <v>119</v>
      </c>
      <c r="AL25" s="48"/>
    </row>
    <row r="26" spans="1:42" ht="19.5" thickBot="1" x14ac:dyDescent="0.45">
      <c r="A26" s="145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Q26" s="41">
        <v>3700</v>
      </c>
      <c r="R26" s="42">
        <f t="shared" si="3"/>
        <v>0</v>
      </c>
      <c r="T26" s="41">
        <v>5500</v>
      </c>
      <c r="U26" s="42">
        <f t="shared" si="4"/>
        <v>0</v>
      </c>
      <c r="W26" s="159"/>
      <c r="X26" s="159"/>
      <c r="Y26" s="150" t="s">
        <v>38</v>
      </c>
      <c r="Z26" s="159"/>
      <c r="AA26" s="159"/>
      <c r="AB26" s="159"/>
      <c r="AD26" s="136">
        <v>22</v>
      </c>
      <c r="AE26" s="137">
        <f t="shared" si="2"/>
        <v>22</v>
      </c>
      <c r="AK26" s="5">
        <v>1700</v>
      </c>
      <c r="AL26" s="45"/>
    </row>
    <row r="27" spans="1:42" ht="19.5" thickBot="1" x14ac:dyDescent="0.45">
      <c r="A27" s="145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41">
        <v>4700</v>
      </c>
      <c r="R27" s="42">
        <f t="shared" si="3"/>
        <v>0</v>
      </c>
      <c r="T27" s="41">
        <v>6300</v>
      </c>
      <c r="U27" s="42">
        <f t="shared" si="4"/>
        <v>0</v>
      </c>
      <c r="V27" s="14"/>
      <c r="W27" s="159"/>
      <c r="X27" s="159"/>
      <c r="Y27" s="154">
        <f>COUNTIF($L$3:$L$42,AP14)</f>
        <v>0</v>
      </c>
      <c r="Z27" s="159"/>
      <c r="AA27" s="159"/>
      <c r="AB27" s="159"/>
      <c r="AD27" s="136">
        <v>23</v>
      </c>
      <c r="AE27" s="137">
        <f t="shared" si="2"/>
        <v>23</v>
      </c>
      <c r="AK27" s="5">
        <v>2700</v>
      </c>
      <c r="AL27" s="45"/>
    </row>
    <row r="28" spans="1:42" ht="19.5" thickBot="1" x14ac:dyDescent="0.45">
      <c r="A28" s="145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5700</v>
      </c>
      <c r="R28" s="42">
        <f t="shared" si="3"/>
        <v>0</v>
      </c>
      <c r="S28" s="73"/>
      <c r="T28" s="41">
        <v>7800</v>
      </c>
      <c r="U28" s="42">
        <f t="shared" si="4"/>
        <v>0</v>
      </c>
      <c r="V28" s="14"/>
      <c r="W28" s="159"/>
      <c r="X28" s="159"/>
      <c r="Y28" s="160" t="s">
        <v>40</v>
      </c>
      <c r="Z28" s="159"/>
      <c r="AA28" s="159"/>
      <c r="AB28" s="159"/>
      <c r="AD28" s="136">
        <v>24</v>
      </c>
      <c r="AE28" s="137">
        <f t="shared" si="2"/>
        <v>24</v>
      </c>
      <c r="AK28" s="5">
        <v>3700</v>
      </c>
      <c r="AL28" s="14"/>
    </row>
    <row r="29" spans="1:42" ht="19.5" thickBot="1" x14ac:dyDescent="0.45">
      <c r="A29" s="145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6700</v>
      </c>
      <c r="R29" s="42">
        <f t="shared" si="3"/>
        <v>0</v>
      </c>
      <c r="S29" s="73"/>
      <c r="T29" s="41">
        <v>28000</v>
      </c>
      <c r="U29" s="42">
        <f t="shared" si="4"/>
        <v>0</v>
      </c>
      <c r="V29" s="14"/>
      <c r="W29" s="159"/>
      <c r="X29" s="159"/>
      <c r="Y29" s="154">
        <f>COUNTIF($L$3:$L$42,AP16)</f>
        <v>0</v>
      </c>
      <c r="Z29" s="159"/>
      <c r="AA29" s="159"/>
      <c r="AB29" s="159"/>
      <c r="AD29" s="136">
        <v>25</v>
      </c>
      <c r="AE29" s="137">
        <f t="shared" si="2"/>
        <v>25</v>
      </c>
      <c r="AK29" s="5">
        <v>4700</v>
      </c>
      <c r="AL29" s="14"/>
    </row>
    <row r="30" spans="1:42" ht="19.5" thickBot="1" x14ac:dyDescent="0.45">
      <c r="A30" s="145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7700</v>
      </c>
      <c r="R30" s="42">
        <f t="shared" si="3"/>
        <v>0</v>
      </c>
      <c r="S30" s="73"/>
      <c r="T30" s="41">
        <v>29000</v>
      </c>
      <c r="U30" s="42">
        <f t="shared" si="4"/>
        <v>0</v>
      </c>
      <c r="V30" s="64"/>
      <c r="W30" s="159"/>
      <c r="Y30" s="150" t="s">
        <v>41</v>
      </c>
      <c r="Z30" s="159"/>
      <c r="AA30" s="159"/>
      <c r="AB30" s="159"/>
      <c r="AD30" s="136">
        <v>26</v>
      </c>
      <c r="AE30" s="137">
        <f t="shared" si="2"/>
        <v>26</v>
      </c>
      <c r="AK30" s="5">
        <v>5700</v>
      </c>
    </row>
    <row r="31" spans="1:42" ht="19.5" thickBot="1" x14ac:dyDescent="0.45">
      <c r="A31" s="145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1">
        <v>8700</v>
      </c>
      <c r="R31" s="42">
        <f t="shared" si="3"/>
        <v>0</v>
      </c>
      <c r="S31" s="64"/>
      <c r="T31" s="41">
        <v>35000</v>
      </c>
      <c r="U31" s="42">
        <f t="shared" si="4"/>
        <v>0</v>
      </c>
      <c r="W31" s="159"/>
      <c r="Y31" s="154">
        <f>COUNTIF($L$3:$L$42,AP17)</f>
        <v>0</v>
      </c>
      <c r="Z31" s="159"/>
      <c r="AA31" s="159"/>
      <c r="AB31" s="159"/>
      <c r="AD31" s="136">
        <v>27</v>
      </c>
      <c r="AE31" s="137">
        <f t="shared" si="2"/>
        <v>27</v>
      </c>
      <c r="AK31" s="5">
        <v>6700</v>
      </c>
    </row>
    <row r="32" spans="1:42" ht="19.5" thickBot="1" x14ac:dyDescent="0.45">
      <c r="A32" s="145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Q32" s="41">
        <v>9700</v>
      </c>
      <c r="R32" s="42">
        <f t="shared" si="3"/>
        <v>0</v>
      </c>
      <c r="T32" s="41">
        <v>50000</v>
      </c>
      <c r="U32" s="42">
        <f t="shared" si="4"/>
        <v>0</v>
      </c>
      <c r="V32" s="14"/>
      <c r="W32" s="159"/>
      <c r="Y32" s="150" t="s">
        <v>42</v>
      </c>
      <c r="Z32" s="159"/>
      <c r="AA32" s="159"/>
      <c r="AB32" s="159"/>
      <c r="AD32" s="136">
        <v>28</v>
      </c>
      <c r="AE32" s="137">
        <f t="shared" si="2"/>
        <v>28</v>
      </c>
      <c r="AK32" s="5">
        <v>7700</v>
      </c>
    </row>
    <row r="33" spans="1:37" ht="19.5" thickBot="1" x14ac:dyDescent="0.45">
      <c r="A33" s="145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Q33" s="41">
        <v>12700</v>
      </c>
      <c r="R33" s="42">
        <f t="shared" si="3"/>
        <v>0</v>
      </c>
      <c r="T33" s="41"/>
      <c r="U33" s="42">
        <f t="shared" si="4"/>
        <v>0</v>
      </c>
      <c r="V33" s="14"/>
      <c r="W33" s="159"/>
      <c r="Y33" s="154">
        <f>COUNTIF($L$3:$L$42,AP18)</f>
        <v>0</v>
      </c>
      <c r="Z33" s="159"/>
      <c r="AA33" s="159"/>
      <c r="AB33" s="159"/>
      <c r="AD33" s="136">
        <v>29</v>
      </c>
      <c r="AE33" s="137">
        <f t="shared" si="2"/>
        <v>29</v>
      </c>
      <c r="AK33" s="5">
        <v>8700</v>
      </c>
    </row>
    <row r="34" spans="1:37" ht="19.5" thickBot="1" x14ac:dyDescent="0.45">
      <c r="A34" s="145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Q34" s="43" t="s">
        <v>48</v>
      </c>
      <c r="R34" s="41">
        <f>SUM(R12:R29)</f>
        <v>0</v>
      </c>
      <c r="T34" s="43" t="s">
        <v>48</v>
      </c>
      <c r="U34" s="41">
        <f>SUM(U22:U32)</f>
        <v>0</v>
      </c>
      <c r="V34" s="14"/>
      <c r="Y34" s="150" t="s">
        <v>43</v>
      </c>
      <c r="Z34" s="159"/>
      <c r="AA34" s="159"/>
      <c r="AB34" s="159"/>
      <c r="AD34" s="136">
        <v>30</v>
      </c>
      <c r="AE34" s="137">
        <f t="shared" si="2"/>
        <v>30</v>
      </c>
      <c r="AK34" s="5">
        <v>9700</v>
      </c>
    </row>
    <row r="35" spans="1:37" ht="19.5" thickBot="1" x14ac:dyDescent="0.45">
      <c r="A35" s="145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S35" s="14"/>
      <c r="V35" s="64"/>
      <c r="Y35" s="154">
        <f>COUNTIF($L$3:$L$42,AP19)</f>
        <v>0</v>
      </c>
      <c r="Z35" s="159"/>
      <c r="AA35" s="159"/>
      <c r="AB35" s="159"/>
      <c r="AD35" s="136">
        <v>31</v>
      </c>
      <c r="AE35" s="137">
        <f t="shared" si="2"/>
        <v>31</v>
      </c>
      <c r="AK35" s="5">
        <v>10700</v>
      </c>
    </row>
    <row r="36" spans="1:37" ht="19.5" thickBot="1" x14ac:dyDescent="0.45">
      <c r="A36" s="145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51" t="s">
        <v>46</v>
      </c>
      <c r="S36" s="14"/>
      <c r="AK36" s="198" t="s">
        <v>124</v>
      </c>
    </row>
    <row r="37" spans="1:37" ht="19.5" thickBot="1" x14ac:dyDescent="0.45">
      <c r="A37" s="145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41">
        <v>300</v>
      </c>
      <c r="R37" s="42">
        <f>SUMIF($H$3:$H$42,Q37,$H$3:$H$42)</f>
        <v>0</v>
      </c>
      <c r="S37" s="65"/>
      <c r="T37" s="167" t="s">
        <v>101</v>
      </c>
      <c r="U37" s="5">
        <f>SUM(U38,U39)</f>
        <v>0</v>
      </c>
      <c r="V37" s="14"/>
      <c r="AK37" s="5">
        <v>2500</v>
      </c>
    </row>
    <row r="38" spans="1:37" ht="19.5" thickBot="1" x14ac:dyDescent="0.45">
      <c r="A38" s="145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41">
        <v>500</v>
      </c>
      <c r="R38" s="42">
        <f>SUMIF($H$3:$H$42,Q38,$H$3:$H$42)</f>
        <v>0</v>
      </c>
      <c r="S38" s="14"/>
      <c r="T38" s="171" t="s">
        <v>102</v>
      </c>
      <c r="U38" s="5">
        <f>COUNTIFS($C$3:$C$42,AG4,$F$3:$F$42,"&gt;=0")</f>
        <v>0</v>
      </c>
      <c r="V38" s="14"/>
      <c r="AK38" s="5">
        <v>3800</v>
      </c>
    </row>
    <row r="39" spans="1:37" ht="19.5" thickBot="1" x14ac:dyDescent="0.45">
      <c r="A39" s="145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41">
        <v>800</v>
      </c>
      <c r="R39" s="42">
        <f>SUMIF($H$3:$H$42,Q39,$H$3:$H$42)</f>
        <v>0</v>
      </c>
      <c r="S39" s="65"/>
      <c r="T39" s="147" t="s">
        <v>108</v>
      </c>
      <c r="U39" s="5">
        <f>(COUNTIFS($C:$C,AG4,$D:$D,$AH$6))+(COUNTIFS($C:$C,AG4,$D:$D,$AH$8))+(COUNTIFS($C:$C,AG4,$D:$D,AH9))+(COUNTIFS($C:$C,AG4,$D:$D,AH10)+(COUNTIFS($C:$C,AG4,$D:$D,AH11)))</f>
        <v>0</v>
      </c>
      <c r="V39" s="14"/>
      <c r="AK39" s="5">
        <v>3800</v>
      </c>
    </row>
    <row r="40" spans="1:37" ht="19.5" thickBot="1" x14ac:dyDescent="0.45">
      <c r="A40" s="145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41"/>
      <c r="R40" s="42">
        <f>SUMIF($H$3:$H$42,Q40,$H$3:$H$42)</f>
        <v>0</v>
      </c>
      <c r="S40" s="65"/>
      <c r="T40" s="147" t="s">
        <v>109</v>
      </c>
      <c r="U40" s="41">
        <f>SUMIF($C:$C,AG4,$G:$G)</f>
        <v>0</v>
      </c>
      <c r="V40" s="64"/>
      <c r="W40">
        <f>COUNTIFS($C$3:$C$42,AG4,G3:$G$42,"&gt;=0")</f>
        <v>0</v>
      </c>
      <c r="X40" s="168">
        <f>COUNTIFS($D$3:$D$42,AH5,$G$3:$G$42,"&gt;=0")</f>
        <v>0</v>
      </c>
      <c r="AK40" s="5">
        <v>5800</v>
      </c>
    </row>
    <row r="41" spans="1:37" ht="19.5" thickBot="1" x14ac:dyDescent="0.45">
      <c r="A41" s="145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43" t="s">
        <v>48</v>
      </c>
      <c r="R41" s="41">
        <f>SUM(R37:R39)</f>
        <v>0</v>
      </c>
      <c r="S41" s="65"/>
      <c r="T41" s="146"/>
      <c r="W41">
        <f>COUNTIFS($C$3:$C$42,AG5,G3:$G$42,"&gt;=0")</f>
        <v>0</v>
      </c>
      <c r="AK41" s="5">
        <v>6300</v>
      </c>
    </row>
    <row r="42" spans="1:37" ht="19.5" thickBot="1" x14ac:dyDescent="0.45">
      <c r="A42" s="145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S42" s="76"/>
      <c r="T42" s="167" t="s">
        <v>103</v>
      </c>
      <c r="U42" s="5">
        <f>SUM(U43,U44)</f>
        <v>0</v>
      </c>
      <c r="W42">
        <f>COUNTIFS($C$3:$C$42,AG6,G3:$G$42,"&gt;=0")</f>
        <v>0</v>
      </c>
      <c r="AK42" s="5">
        <v>28000</v>
      </c>
    </row>
    <row r="43" spans="1:37" ht="19.5" thickBot="1" x14ac:dyDescent="0.45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  <c r="Q43" s="1" t="s">
        <v>49</v>
      </c>
      <c r="R43" s="169">
        <f>SUM(R44,R46)</f>
        <v>0</v>
      </c>
      <c r="T43" s="171" t="s">
        <v>102</v>
      </c>
      <c r="U43" s="5">
        <f>COUNTIFS($C$3:$C$42,AG5,$F$3:$F$42,"&gt;=0")</f>
        <v>0</v>
      </c>
      <c r="AK43" s="5">
        <v>29000</v>
      </c>
    </row>
    <row r="44" spans="1:37" ht="19.5" thickBot="1" x14ac:dyDescent="0.45">
      <c r="N44" s="207" t="s">
        <v>128</v>
      </c>
      <c r="O44" s="224" t="s">
        <v>127</v>
      </c>
      <c r="Q44" s="1" t="s">
        <v>9</v>
      </c>
      <c r="R44" s="20">
        <f>COUNTIF($D$3:$D$42,Q44)+COUNTIF($D$3:$D$42,AH5)</f>
        <v>0</v>
      </c>
      <c r="T44" s="149" t="s">
        <v>110</v>
      </c>
      <c r="U44" s="5">
        <f>(COUNTIFS($C:$C,AG5,$D:$D,$AH$6))+(COUNTIFS($C:$C,AG5,$D:$D,$AH$8))+(COUNTIFS($C:$C,AG5,$D:$D,AH9))+(COUNTIFS($C:$C,AG5,$D:$D,AH10)+(COUNTIFS($C:$C,AG5,$D:$D,AH11)))</f>
        <v>0</v>
      </c>
      <c r="AK44" s="5">
        <v>35000</v>
      </c>
    </row>
    <row r="45" spans="1:37" ht="19.5" thickBot="1" x14ac:dyDescent="0.45">
      <c r="N45" s="211"/>
      <c r="O45" s="225">
        <f>SUMIF($O$3:$O$42,O44,$I$3:$I$42)</f>
        <v>0</v>
      </c>
      <c r="Q45" s="22" t="s">
        <v>61</v>
      </c>
      <c r="R45" s="30">
        <f>SUM(R3:R8)</f>
        <v>0</v>
      </c>
      <c r="T45" s="147" t="s">
        <v>67</v>
      </c>
      <c r="U45" s="41">
        <f>SUMIF($C:$C,AG5,$G:$G)</f>
        <v>0</v>
      </c>
    </row>
    <row r="46" spans="1:37" ht="19.5" thickBot="1" x14ac:dyDescent="0.45">
      <c r="Q46" s="1" t="s">
        <v>50</v>
      </c>
      <c r="R46" s="170">
        <f>SUM(W40:W42:W40:W42)-X40</f>
        <v>0</v>
      </c>
    </row>
    <row r="47" spans="1:37" ht="19.5" thickBot="1" x14ac:dyDescent="0.45">
      <c r="Q47" s="1" t="s">
        <v>62</v>
      </c>
      <c r="R47" s="31">
        <f>R51-R45</f>
        <v>0</v>
      </c>
      <c r="T47" s="167" t="s">
        <v>104</v>
      </c>
      <c r="U47" s="5">
        <f>SUM(U48,U49)</f>
        <v>0</v>
      </c>
    </row>
    <row r="48" spans="1:37" ht="19.5" thickBot="1" x14ac:dyDescent="0.45">
      <c r="Q48" s="201" t="s">
        <v>121</v>
      </c>
      <c r="R48" s="31">
        <f>SUM(H:H)</f>
        <v>0</v>
      </c>
      <c r="T48" s="171" t="s">
        <v>102</v>
      </c>
      <c r="U48" s="172">
        <f>COUNTIFS($C$3:$C$42,AG6,$F$3:$F$42,"&gt;=0")</f>
        <v>0</v>
      </c>
    </row>
    <row r="49" spans="17:21" ht="19.5" thickBot="1" x14ac:dyDescent="0.45">
      <c r="Q49" s="1" t="s">
        <v>51</v>
      </c>
      <c r="R49" s="30">
        <f>(R51-R50)</f>
        <v>0</v>
      </c>
      <c r="T49" s="149" t="s">
        <v>110</v>
      </c>
      <c r="U49" s="5">
        <f>(COUNTIFS($C:$C,AG6,$D:$D,$AH$6))+(COUNTIFS($C:$C,AG6,$D:$D,$AH$8))+(COUNTIFS($C:$C,AG6,$D:$D,AH9))+(COUNTIFS($C:$C,AG6,$D:$D,AH10)+(COUNTIFS($C:$C,AG6,$D:$D,AH11)))</f>
        <v>0</v>
      </c>
    </row>
    <row r="50" spans="17:21" ht="19.5" thickBot="1" x14ac:dyDescent="0.45">
      <c r="Q50" s="68" t="s">
        <v>71</v>
      </c>
      <c r="R50" s="31">
        <f>SUMIFS($I$3:$I$42,$J$3:$J$42,AM4)+O45</f>
        <v>0</v>
      </c>
      <c r="T50" s="147" t="s">
        <v>67</v>
      </c>
      <c r="U50" s="41">
        <f>SUMIF($C:$C,AG6,$G:$G)</f>
        <v>0</v>
      </c>
    </row>
    <row r="51" spans="17:21" ht="19.5" thickBot="1" x14ac:dyDescent="0.45">
      <c r="Q51" s="69" t="s">
        <v>52</v>
      </c>
      <c r="R51" s="70">
        <f>SUM(I3:I42)</f>
        <v>0</v>
      </c>
    </row>
  </sheetData>
  <mergeCells count="2">
    <mergeCell ref="A1:B1"/>
    <mergeCell ref="C1:G1"/>
  </mergeCells>
  <phoneticPr fontId="1"/>
  <dataValidations count="12">
    <dataValidation type="list" allowBlank="1" showInputMessage="1" showErrorMessage="1" sqref="C3:C42" xr:uid="{79297392-9264-4338-97BF-E84CF21D3F1F}">
      <formula1>$AG$4:$AG$6</formula1>
    </dataValidation>
    <dataValidation type="list" allowBlank="1" showInputMessage="1" showErrorMessage="1" sqref="K3:K42" xr:uid="{E7F607AC-8163-48E7-8B55-BBE429C9F64D}">
      <formula1>$AJ$4:$AJ$5</formula1>
    </dataValidation>
    <dataValidation type="list" allowBlank="1" showInputMessage="1" showErrorMessage="1" sqref="N3:N42" xr:uid="{6F49ABF5-7023-43EB-8C67-644C9B606D54}">
      <formula1>$AO$4:$AO$5</formula1>
    </dataValidation>
    <dataValidation type="list" allowBlank="1" showInputMessage="1" showErrorMessage="1" sqref="L3:L42" xr:uid="{E849148D-2C78-4028-A811-14E247A47C23}">
      <formula1>$AP$4:$AP$19</formula1>
    </dataValidation>
    <dataValidation type="list" allowBlank="1" showInputMessage="1" showErrorMessage="1" sqref="J3:J42" xr:uid="{FF883F02-0B33-4729-A9EF-27CF44454C33}">
      <formula1>$AM$4:$AM$4</formula1>
    </dataValidation>
    <dataValidation type="list" allowBlank="1" showInputMessage="1" showErrorMessage="1" sqref="M3:M42" xr:uid="{9F3FC642-4837-4246-8C63-9732D574538D}">
      <formula1>$AN$4:$AN$14</formula1>
    </dataValidation>
    <dataValidation type="list" allowBlank="1" showInputMessage="1" showErrorMessage="1" sqref="F3:F42" xr:uid="{182B62DA-6979-465B-A1F4-3164107AA60A}">
      <formula1>$AK$4:$AK$12</formula1>
    </dataValidation>
    <dataValidation type="list" allowBlank="1" showInputMessage="1" showErrorMessage="1" sqref="E3:E42" xr:uid="{A3199A2A-460D-4C8C-B97E-C5DF473A4DEA}">
      <formula1>$AI$4:$AI$12</formula1>
    </dataValidation>
    <dataValidation type="list" allowBlank="1" showInputMessage="1" showErrorMessage="1" sqref="H3:H42" xr:uid="{AAC5CD17-2EB0-46D2-BBF2-87983F9898CC}">
      <formula1>$AL$4:$AL$8</formula1>
    </dataValidation>
    <dataValidation type="list" allowBlank="1" showInputMessage="1" showErrorMessage="1" sqref="D3:D42" xr:uid="{019F8C77-B389-4F2A-A047-885DA1BE31C1}">
      <formula1>$AH$4:$AH$12</formula1>
    </dataValidation>
    <dataValidation type="list" allowBlank="1" showInputMessage="1" showErrorMessage="1" sqref="O3:O42" xr:uid="{7752988A-29B3-4304-B138-0E03A0EBBB47}">
      <formula1>$AQ$4:$AQ$9</formula1>
    </dataValidation>
    <dataValidation type="list" allowBlank="1" showInputMessage="1" showErrorMessage="1" sqref="G3:G42" xr:uid="{7888B106-4D05-40B9-A026-41C8618355F2}">
      <formula1>$AK$13:$AK$44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3FB4-0EB5-407B-8B23-40430EA61E2C}">
  <dimension ref="A1:AN43"/>
  <sheetViews>
    <sheetView topLeftCell="H1" workbookViewId="0">
      <selection activeCell="J15" sqref="J15"/>
    </sheetView>
  </sheetViews>
  <sheetFormatPr defaultRowHeight="18.75" x14ac:dyDescent="0.4"/>
  <cols>
    <col min="1" max="1" width="3.5" bestFit="1" customWidth="1"/>
    <col min="2" max="2" width="15" customWidth="1"/>
    <col min="3" max="3" width="2.5" customWidth="1"/>
    <col min="4" max="4" width="8.75" customWidth="1"/>
    <col min="5" max="5" width="3.75" customWidth="1"/>
    <col min="6" max="6" width="6.375" customWidth="1"/>
    <col min="7" max="7" width="7.25" customWidth="1"/>
    <col min="8" max="8" width="5.375" customWidth="1"/>
    <col min="9" max="9" width="8.625" customWidth="1"/>
    <col min="10" max="10" width="3.75" customWidth="1"/>
    <col min="11" max="12" width="3.5" customWidth="1"/>
    <col min="13" max="13" width="3.75" customWidth="1"/>
    <col min="14" max="14" width="2.875" customWidth="1"/>
    <col min="15" max="15" width="12.625" customWidth="1"/>
    <col min="16" max="16" width="3.125" customWidth="1"/>
    <col min="18" max="18" width="9.375" bestFit="1" customWidth="1"/>
    <col min="19" max="19" width="3.375" customWidth="1"/>
    <col min="20" max="20" width="6.125" customWidth="1"/>
    <col min="21" max="21" width="6" customWidth="1"/>
    <col min="22" max="22" width="4.5" customWidth="1"/>
    <col min="23" max="23" width="5.125" customWidth="1"/>
    <col min="24" max="28" width="5" customWidth="1"/>
    <col min="30" max="30" width="4.625" customWidth="1"/>
    <col min="31" max="31" width="6.75" customWidth="1"/>
    <col min="32" max="32" width="5.625" customWidth="1"/>
    <col min="33" max="33" width="4.375" customWidth="1"/>
    <col min="34" max="35" width="6.375" customWidth="1"/>
    <col min="36" max="36" width="3.75" customWidth="1"/>
    <col min="37" max="37" width="4.5" customWidth="1"/>
    <col min="38" max="38" width="4.125" customWidth="1"/>
    <col min="39" max="39" width="4.625" customWidth="1"/>
    <col min="40" max="40" width="9.5" customWidth="1"/>
  </cols>
  <sheetData>
    <row r="1" spans="1:40" ht="19.5" thickBot="1" x14ac:dyDescent="0.45">
      <c r="A1" s="229" t="s">
        <v>60</v>
      </c>
      <c r="B1" s="229"/>
    </row>
    <row r="2" spans="1:40" ht="19.5" thickBot="1" x14ac:dyDescent="0.45">
      <c r="A2" s="57"/>
      <c r="B2" s="58" t="s">
        <v>0</v>
      </c>
      <c r="C2" s="58" t="s">
        <v>45</v>
      </c>
      <c r="D2" s="58" t="s">
        <v>1</v>
      </c>
      <c r="E2" s="58" t="s">
        <v>2</v>
      </c>
      <c r="F2" s="44" t="s">
        <v>9</v>
      </c>
      <c r="G2" s="44" t="s">
        <v>50</v>
      </c>
      <c r="H2" s="44" t="s">
        <v>46</v>
      </c>
      <c r="I2" s="44" t="s">
        <v>47</v>
      </c>
      <c r="J2" s="44" t="s">
        <v>5</v>
      </c>
      <c r="K2" s="44" t="s">
        <v>3</v>
      </c>
      <c r="L2" s="44" t="s">
        <v>6</v>
      </c>
      <c r="M2" s="44" t="s">
        <v>4</v>
      </c>
      <c r="N2" s="44" t="s">
        <v>30</v>
      </c>
      <c r="O2" s="44" t="s">
        <v>7</v>
      </c>
      <c r="Q2" s="79" t="s">
        <v>63</v>
      </c>
      <c r="AA2" s="138" t="s">
        <v>98</v>
      </c>
      <c r="AB2" s="138" t="s">
        <v>100</v>
      </c>
    </row>
    <row r="3" spans="1:40" ht="19.5" thickBot="1" x14ac:dyDescent="0.45">
      <c r="A3" s="143">
        <v>1</v>
      </c>
      <c r="B3" s="7"/>
      <c r="C3" s="4"/>
      <c r="D3" s="4"/>
      <c r="E3" s="15"/>
      <c r="F3" s="53"/>
      <c r="G3" s="53"/>
      <c r="H3" s="55"/>
      <c r="I3" s="30">
        <f>SUM(F3:H3)</f>
        <v>0</v>
      </c>
      <c r="J3" s="15"/>
      <c r="K3" s="15"/>
      <c r="L3" s="15"/>
      <c r="M3" s="15"/>
      <c r="N3" s="7"/>
      <c r="O3" s="67"/>
      <c r="P3" s="77"/>
      <c r="Q3" s="41">
        <v>500</v>
      </c>
      <c r="R3" s="78">
        <f>SUMIF(F3:F42,Q3,F3:F42)</f>
        <v>0</v>
      </c>
      <c r="S3" s="73"/>
      <c r="T3" s="3" t="s">
        <v>50</v>
      </c>
      <c r="U3" s="3" t="s">
        <v>2</v>
      </c>
      <c r="V3" s="33" t="s">
        <v>6</v>
      </c>
      <c r="W3" s="16" t="s">
        <v>54</v>
      </c>
      <c r="X3" s="16" t="s">
        <v>53</v>
      </c>
      <c r="Y3" s="123" t="s">
        <v>95</v>
      </c>
      <c r="Z3" s="19"/>
      <c r="AA3" s="138" t="s">
        <v>99</v>
      </c>
      <c r="AB3" s="139" t="str">
        <f>HYPERLINK("#"&amp;AA3&amp;"!A1",AA3)</f>
        <v>月データ</v>
      </c>
      <c r="AD3" s="3" t="s">
        <v>8</v>
      </c>
      <c r="AE3" s="3" t="s">
        <v>1</v>
      </c>
      <c r="AF3" s="2" t="s">
        <v>2</v>
      </c>
      <c r="AG3" s="8" t="s">
        <v>3</v>
      </c>
      <c r="AH3" s="8" t="s">
        <v>18</v>
      </c>
      <c r="AI3" s="8" t="s">
        <v>64</v>
      </c>
      <c r="AJ3" s="8" t="s">
        <v>31</v>
      </c>
      <c r="AK3" s="8" t="s">
        <v>4</v>
      </c>
      <c r="AL3" s="9" t="s">
        <v>19</v>
      </c>
      <c r="AM3" s="8" t="s">
        <v>6</v>
      </c>
      <c r="AN3" s="2" t="s">
        <v>7</v>
      </c>
    </row>
    <row r="4" spans="1:40" ht="19.5" thickBot="1" x14ac:dyDescent="0.45">
      <c r="A4" s="143">
        <v>2</v>
      </c>
      <c r="B4" s="7"/>
      <c r="C4" s="4"/>
      <c r="D4" s="4"/>
      <c r="E4" s="15"/>
      <c r="F4" s="53"/>
      <c r="G4" s="53"/>
      <c r="H4" s="55"/>
      <c r="I4" s="30">
        <f>SUM(F4:H4)</f>
        <v>0</v>
      </c>
      <c r="J4" s="15"/>
      <c r="K4" s="15"/>
      <c r="L4" s="15"/>
      <c r="M4" s="15"/>
      <c r="N4" s="7"/>
      <c r="O4" s="67"/>
      <c r="Q4" s="80">
        <v>600</v>
      </c>
      <c r="R4" s="42">
        <f>SUMIF(F3:F42,Q4,F3:F42)</f>
        <v>0</v>
      </c>
      <c r="S4" s="73"/>
      <c r="T4" s="82" t="s">
        <v>9</v>
      </c>
      <c r="U4" s="59" t="s">
        <v>14</v>
      </c>
      <c r="V4" s="36" t="s">
        <v>32</v>
      </c>
      <c r="W4" s="23" t="s">
        <v>78</v>
      </c>
      <c r="X4" s="74" t="s">
        <v>20</v>
      </c>
      <c r="Y4" s="135"/>
      <c r="Z4" s="141"/>
      <c r="AA4" s="136">
        <v>1</v>
      </c>
      <c r="AB4" s="137">
        <f t="shared" ref="AB4:AB34" si="0">HYPERLINK("#"&amp;AA4&amp;"!A1",AA4)</f>
        <v>1</v>
      </c>
      <c r="AD4" s="3" t="s">
        <v>68</v>
      </c>
      <c r="AE4" s="17" t="s">
        <v>9</v>
      </c>
      <c r="AF4" s="2" t="s">
        <v>14</v>
      </c>
      <c r="AG4" s="2" t="s">
        <v>16</v>
      </c>
      <c r="AH4" s="24" t="s">
        <v>9</v>
      </c>
      <c r="AI4" s="49" t="s">
        <v>66</v>
      </c>
      <c r="AJ4" s="11" t="s">
        <v>72</v>
      </c>
      <c r="AK4" s="2" t="s">
        <v>78</v>
      </c>
      <c r="AL4" s="11" t="s">
        <v>20</v>
      </c>
      <c r="AM4" s="2" t="s">
        <v>32</v>
      </c>
      <c r="AN4" s="71" t="s">
        <v>74</v>
      </c>
    </row>
    <row r="5" spans="1:40" ht="19.5" thickBot="1" x14ac:dyDescent="0.45">
      <c r="A5" s="143">
        <v>3</v>
      </c>
      <c r="B5" s="7"/>
      <c r="C5" s="4"/>
      <c r="D5" s="4"/>
      <c r="E5" s="15"/>
      <c r="F5" s="53"/>
      <c r="G5" s="53"/>
      <c r="H5" s="55"/>
      <c r="I5" s="30">
        <f t="shared" ref="I5:I42" si="1">SUM(F5:H5)</f>
        <v>0</v>
      </c>
      <c r="J5" s="15"/>
      <c r="K5" s="15"/>
      <c r="L5" s="15"/>
      <c r="M5" s="15"/>
      <c r="N5" s="7"/>
      <c r="O5" s="67"/>
      <c r="Q5" s="41">
        <v>800</v>
      </c>
      <c r="R5" s="42">
        <f>SUMIF(F3:F42,Q5,F3:F42)</f>
        <v>0</v>
      </c>
      <c r="S5" s="73"/>
      <c r="T5" s="5">
        <f>COUNTIF(D3:D42,T4)</f>
        <v>0</v>
      </c>
      <c r="U5" s="5">
        <f>COUNTIF(E3:E42,U4)</f>
        <v>0</v>
      </c>
      <c r="V5" s="5">
        <f>COUNTIF(L3:L42,AM4)</f>
        <v>0</v>
      </c>
      <c r="W5" s="5">
        <f>COUNTIF(M3:M42,W4)</f>
        <v>0</v>
      </c>
      <c r="X5" s="5">
        <f>COUNTIF(N3:N42,X4)</f>
        <v>0</v>
      </c>
      <c r="Y5" s="6" t="s">
        <v>96</v>
      </c>
      <c r="Z5" s="61"/>
      <c r="AA5" s="136">
        <v>2</v>
      </c>
      <c r="AB5" s="137">
        <f t="shared" si="0"/>
        <v>2</v>
      </c>
      <c r="AD5" s="3" t="s">
        <v>69</v>
      </c>
      <c r="AE5" s="17" t="s">
        <v>10</v>
      </c>
      <c r="AF5" s="2">
        <v>15</v>
      </c>
      <c r="AG5" s="3" t="s">
        <v>17</v>
      </c>
      <c r="AH5" s="5">
        <v>500</v>
      </c>
      <c r="AI5" s="5">
        <v>300</v>
      </c>
      <c r="AK5" s="2" t="s">
        <v>76</v>
      </c>
      <c r="AL5" s="11" t="s">
        <v>21</v>
      </c>
      <c r="AM5" s="2" t="s">
        <v>44</v>
      </c>
      <c r="AN5" s="72" t="s">
        <v>75</v>
      </c>
    </row>
    <row r="6" spans="1:40" ht="19.5" thickBot="1" x14ac:dyDescent="0.45">
      <c r="A6" s="143">
        <v>4</v>
      </c>
      <c r="B6" s="7"/>
      <c r="C6" s="4"/>
      <c r="D6" s="4"/>
      <c r="E6" s="15"/>
      <c r="F6" s="53"/>
      <c r="G6" s="53"/>
      <c r="H6" s="55"/>
      <c r="I6" s="30">
        <f t="shared" si="1"/>
        <v>0</v>
      </c>
      <c r="J6" s="15"/>
      <c r="K6" s="15"/>
      <c r="L6" s="15"/>
      <c r="M6" s="15"/>
      <c r="N6" s="7"/>
      <c r="O6" s="67"/>
      <c r="Q6" s="41">
        <v>1500</v>
      </c>
      <c r="R6" s="42">
        <f>SUMIF(F3:F42,Q6,F3:F42)</f>
        <v>0</v>
      </c>
      <c r="S6" s="73"/>
      <c r="T6" s="82" t="s">
        <v>10</v>
      </c>
      <c r="U6" s="59">
        <v>15</v>
      </c>
      <c r="V6" s="36" t="s">
        <v>44</v>
      </c>
      <c r="W6" s="23" t="s">
        <v>76</v>
      </c>
      <c r="X6" s="75" t="s">
        <v>21</v>
      </c>
      <c r="Y6" s="134"/>
      <c r="Z6" s="141"/>
      <c r="AA6" s="136">
        <v>3</v>
      </c>
      <c r="AB6" s="137">
        <f t="shared" si="0"/>
        <v>3</v>
      </c>
      <c r="AD6" s="3" t="s">
        <v>70</v>
      </c>
      <c r="AE6" s="18" t="s">
        <v>15</v>
      </c>
      <c r="AF6" s="2">
        <v>20</v>
      </c>
      <c r="AH6" s="5">
        <v>600</v>
      </c>
      <c r="AI6" s="5">
        <v>500</v>
      </c>
      <c r="AK6" s="2" t="s">
        <v>77</v>
      </c>
      <c r="AM6" s="2">
        <v>2</v>
      </c>
      <c r="AN6" s="5"/>
    </row>
    <row r="7" spans="1:40" ht="19.5" thickBot="1" x14ac:dyDescent="0.45">
      <c r="A7" s="143">
        <v>5</v>
      </c>
      <c r="B7" s="7"/>
      <c r="C7" s="4"/>
      <c r="D7" s="4"/>
      <c r="E7" s="15"/>
      <c r="F7" s="53"/>
      <c r="G7" s="53"/>
      <c r="H7" s="55"/>
      <c r="I7" s="30">
        <f t="shared" si="1"/>
        <v>0</v>
      </c>
      <c r="J7" s="15"/>
      <c r="K7" s="15"/>
      <c r="L7" s="15"/>
      <c r="M7" s="15"/>
      <c r="N7" s="7"/>
      <c r="O7" s="67"/>
      <c r="Q7" s="41">
        <v>1600</v>
      </c>
      <c r="R7" s="42">
        <f>SUMIF(F3:F42,Q7,F3:F42)</f>
        <v>0</v>
      </c>
      <c r="S7" s="73"/>
      <c r="T7" s="5">
        <f>COUNTIF(D3:D42,T6)</f>
        <v>0</v>
      </c>
      <c r="U7" s="5">
        <f>COUNTIF(E3:E42,U6)</f>
        <v>0</v>
      </c>
      <c r="V7" s="5">
        <f>COUNTIF(L3:L42,AM5)</f>
        <v>0</v>
      </c>
      <c r="W7" s="5">
        <f>COUNTIF(M3:M42,W6)</f>
        <v>0</v>
      </c>
      <c r="X7" s="5">
        <f>COUNTIF(N3:N42,X6)</f>
        <v>0</v>
      </c>
      <c r="Y7" s="124" t="s">
        <v>97</v>
      </c>
      <c r="Z7" s="140"/>
      <c r="AA7" s="136">
        <v>4</v>
      </c>
      <c r="AB7" s="137">
        <f t="shared" si="0"/>
        <v>4</v>
      </c>
      <c r="AE7" s="17" t="s">
        <v>12</v>
      </c>
      <c r="AF7" s="2">
        <v>30</v>
      </c>
      <c r="AH7" s="5">
        <v>800</v>
      </c>
      <c r="AI7" s="5">
        <v>800</v>
      </c>
      <c r="AK7" s="2" t="s">
        <v>22</v>
      </c>
      <c r="AM7" s="2">
        <v>3</v>
      </c>
    </row>
    <row r="8" spans="1:40" ht="19.5" thickBot="1" x14ac:dyDescent="0.45">
      <c r="A8" s="143">
        <v>6</v>
      </c>
      <c r="B8" s="144"/>
      <c r="C8" s="56"/>
      <c r="D8" s="4"/>
      <c r="E8" s="15"/>
      <c r="F8" s="53"/>
      <c r="G8" s="53"/>
      <c r="H8" s="55"/>
      <c r="I8" s="30">
        <f t="shared" si="1"/>
        <v>0</v>
      </c>
      <c r="J8" s="15"/>
      <c r="K8" s="15"/>
      <c r="L8" s="15"/>
      <c r="M8" s="15"/>
      <c r="N8" s="7"/>
      <c r="O8" s="67"/>
      <c r="Q8" s="41">
        <v>1800</v>
      </c>
      <c r="R8" s="42">
        <f>SUMIF(F3:F42,Q8,F3:F42)</f>
        <v>0</v>
      </c>
      <c r="S8" s="73"/>
      <c r="T8" s="81" t="s">
        <v>15</v>
      </c>
      <c r="U8" s="59">
        <v>20</v>
      </c>
      <c r="V8" s="36">
        <v>2</v>
      </c>
      <c r="W8" s="23" t="s">
        <v>77</v>
      </c>
      <c r="X8" s="14"/>
      <c r="Y8" s="133"/>
      <c r="Z8" s="142"/>
      <c r="AA8" s="136">
        <v>5</v>
      </c>
      <c r="AB8" s="137">
        <f t="shared" si="0"/>
        <v>5</v>
      </c>
      <c r="AE8" s="17" t="s">
        <v>13</v>
      </c>
      <c r="AF8" s="2">
        <v>40</v>
      </c>
      <c r="AH8" s="25" t="s">
        <v>59</v>
      </c>
      <c r="AK8" s="2" t="s">
        <v>23</v>
      </c>
      <c r="AM8" s="2">
        <v>4</v>
      </c>
    </row>
    <row r="9" spans="1:40" ht="19.5" thickBot="1" x14ac:dyDescent="0.45">
      <c r="A9" s="143">
        <v>7</v>
      </c>
      <c r="B9" s="7"/>
      <c r="C9" s="4"/>
      <c r="D9" s="4"/>
      <c r="E9" s="15"/>
      <c r="F9" s="53"/>
      <c r="G9" s="53"/>
      <c r="H9" s="55"/>
      <c r="I9" s="30">
        <f t="shared" si="1"/>
        <v>0</v>
      </c>
      <c r="J9" s="15"/>
      <c r="K9" s="15"/>
      <c r="L9" s="15"/>
      <c r="M9" s="15"/>
      <c r="N9" s="7"/>
      <c r="O9" s="67"/>
      <c r="Q9" s="43" t="s">
        <v>48</v>
      </c>
      <c r="R9" s="41">
        <f>SUM(R3:R8)</f>
        <v>0</v>
      </c>
      <c r="S9" s="64"/>
      <c r="T9" s="5">
        <f>COUNTIF(D3:D42,T8)</f>
        <v>0</v>
      </c>
      <c r="U9" s="5">
        <f>COUNTIF(E3:E42,U8)</f>
        <v>0</v>
      </c>
      <c r="V9" s="5">
        <f>COUNTIF(L3:L42,AM6)</f>
        <v>0</v>
      </c>
      <c r="W9" s="5">
        <f>COUNTIF(M3:M42,W8)</f>
        <v>0</v>
      </c>
      <c r="X9" s="14"/>
      <c r="Y9" s="14"/>
      <c r="Z9" s="14"/>
      <c r="AA9" s="136">
        <v>6</v>
      </c>
      <c r="AB9" s="137">
        <f t="shared" si="0"/>
        <v>6</v>
      </c>
      <c r="AE9" s="17" t="s">
        <v>11</v>
      </c>
      <c r="AF9" s="2">
        <v>60</v>
      </c>
      <c r="AH9" s="5">
        <v>1500</v>
      </c>
      <c r="AK9" s="2" t="s">
        <v>24</v>
      </c>
      <c r="AM9" s="2" t="s">
        <v>33</v>
      </c>
    </row>
    <row r="10" spans="1:40" ht="19.5" thickBot="1" x14ac:dyDescent="0.45">
      <c r="A10" s="143">
        <v>8</v>
      </c>
      <c r="B10" s="7"/>
      <c r="C10" s="4"/>
      <c r="D10" s="4"/>
      <c r="E10" s="15"/>
      <c r="F10" s="53"/>
      <c r="G10" s="53"/>
      <c r="H10" s="55"/>
      <c r="I10" s="30">
        <f t="shared" si="1"/>
        <v>0</v>
      </c>
      <c r="J10" s="15"/>
      <c r="K10" s="15"/>
      <c r="L10" s="15"/>
      <c r="M10" s="15"/>
      <c r="N10" s="7"/>
      <c r="O10" s="67"/>
      <c r="T10" s="52" t="s">
        <v>12</v>
      </c>
      <c r="U10" s="59">
        <v>30</v>
      </c>
      <c r="V10" s="36">
        <v>3</v>
      </c>
      <c r="W10" s="23" t="s">
        <v>22</v>
      </c>
      <c r="AA10" s="136">
        <v>7</v>
      </c>
      <c r="AB10" s="137">
        <f t="shared" si="0"/>
        <v>7</v>
      </c>
      <c r="AE10" s="17" t="s">
        <v>73</v>
      </c>
      <c r="AF10" s="2">
        <v>90</v>
      </c>
      <c r="AH10" s="5">
        <v>1600</v>
      </c>
      <c r="AI10" s="45"/>
      <c r="AK10" s="2" t="s">
        <v>27</v>
      </c>
      <c r="AM10" s="5" t="s">
        <v>34</v>
      </c>
    </row>
    <row r="11" spans="1:40" ht="19.5" thickBot="1" x14ac:dyDescent="0.45">
      <c r="A11" s="143">
        <v>9</v>
      </c>
      <c r="B11" s="7"/>
      <c r="C11" s="4"/>
      <c r="D11" s="4"/>
      <c r="E11" s="15"/>
      <c r="F11" s="53"/>
      <c r="G11" s="53"/>
      <c r="H11" s="55"/>
      <c r="I11" s="30">
        <f t="shared" si="1"/>
        <v>0</v>
      </c>
      <c r="J11" s="15"/>
      <c r="K11" s="15"/>
      <c r="L11" s="15"/>
      <c r="M11" s="15"/>
      <c r="N11" s="7"/>
      <c r="O11" s="67"/>
      <c r="Q11" s="50" t="s">
        <v>67</v>
      </c>
      <c r="T11" s="5">
        <f>COUNTIF(D3:D42,T10)</f>
        <v>0</v>
      </c>
      <c r="U11" s="5">
        <f>COUNTIF(E3:E42,U10)</f>
        <v>0</v>
      </c>
      <c r="V11" s="5">
        <f>COUNTIF(L3:L42,AM7)</f>
        <v>0</v>
      </c>
      <c r="W11" s="5">
        <f>COUNTIF(M3:M42,W10)</f>
        <v>0</v>
      </c>
      <c r="AA11" s="136">
        <v>8</v>
      </c>
      <c r="AB11" s="137">
        <f t="shared" si="0"/>
        <v>8</v>
      </c>
      <c r="AH11" s="5">
        <v>1800</v>
      </c>
      <c r="AI11" s="45"/>
      <c r="AK11" s="2" t="s">
        <v>26</v>
      </c>
      <c r="AM11" s="5" t="s">
        <v>35</v>
      </c>
    </row>
    <row r="12" spans="1:40" ht="19.5" thickBot="1" x14ac:dyDescent="0.45">
      <c r="A12" s="143">
        <v>10</v>
      </c>
      <c r="B12" s="7"/>
      <c r="C12" s="4"/>
      <c r="D12" s="4"/>
      <c r="E12" s="15"/>
      <c r="F12" s="53"/>
      <c r="G12" s="53"/>
      <c r="H12" s="55"/>
      <c r="I12" s="30">
        <f t="shared" si="1"/>
        <v>0</v>
      </c>
      <c r="J12" s="15"/>
      <c r="K12" s="15"/>
      <c r="L12" s="15"/>
      <c r="M12" s="15"/>
      <c r="N12" s="7"/>
      <c r="O12" s="67"/>
      <c r="Q12" s="41">
        <v>1500</v>
      </c>
      <c r="R12" s="42">
        <f>SUMIF(G3:G42,Q12,G3:G42)</f>
        <v>0</v>
      </c>
      <c r="S12" s="73"/>
      <c r="T12" s="40" t="s">
        <v>13</v>
      </c>
      <c r="U12" s="59">
        <v>40</v>
      </c>
      <c r="V12" s="36">
        <v>4</v>
      </c>
      <c r="W12" s="23" t="s">
        <v>55</v>
      </c>
      <c r="AA12" s="136">
        <v>9</v>
      </c>
      <c r="AB12" s="137">
        <f t="shared" si="0"/>
        <v>9</v>
      </c>
      <c r="AH12" s="26" t="s">
        <v>65</v>
      </c>
      <c r="AI12" s="45"/>
      <c r="AK12" s="2" t="s">
        <v>28</v>
      </c>
      <c r="AM12" s="2" t="s">
        <v>36</v>
      </c>
    </row>
    <row r="13" spans="1:40" ht="19.5" thickBot="1" x14ac:dyDescent="0.45">
      <c r="A13" s="143">
        <v>11</v>
      </c>
      <c r="B13" s="7"/>
      <c r="C13" s="4"/>
      <c r="D13" s="4"/>
      <c r="E13" s="15"/>
      <c r="F13" s="53"/>
      <c r="G13" s="53"/>
      <c r="H13" s="55"/>
      <c r="I13" s="30">
        <f t="shared" si="1"/>
        <v>0</v>
      </c>
      <c r="J13" s="15"/>
      <c r="K13" s="15"/>
      <c r="L13" s="15"/>
      <c r="M13" s="15"/>
      <c r="N13" s="7"/>
      <c r="O13" s="67"/>
      <c r="Q13" s="41">
        <v>1750</v>
      </c>
      <c r="R13" s="42">
        <f>SUMIF(G3:G42,Q13,G3:G42)</f>
        <v>0</v>
      </c>
      <c r="S13" s="73"/>
      <c r="T13" s="5">
        <f>COUNTIF(D3:D42,T12)</f>
        <v>0</v>
      </c>
      <c r="U13" s="5">
        <f>COUNTIF(E3:E42,U12)</f>
        <v>0</v>
      </c>
      <c r="V13" s="5">
        <f>COUNTIF(L3:L42,AM8)</f>
        <v>0</v>
      </c>
      <c r="W13" s="5">
        <f>COUNTIF(M3:M42,W12)</f>
        <v>0</v>
      </c>
      <c r="AA13" s="136">
        <v>10</v>
      </c>
      <c r="AB13" s="137">
        <f t="shared" si="0"/>
        <v>10</v>
      </c>
      <c r="AH13" s="5">
        <v>1500</v>
      </c>
      <c r="AI13" s="45"/>
      <c r="AK13" s="2" t="s">
        <v>29</v>
      </c>
      <c r="AM13" s="8" t="s">
        <v>37</v>
      </c>
    </row>
    <row r="14" spans="1:40" ht="19.5" thickBot="1" x14ac:dyDescent="0.45">
      <c r="A14" s="143">
        <v>12</v>
      </c>
      <c r="B14" s="7"/>
      <c r="C14" s="4"/>
      <c r="D14" s="4"/>
      <c r="E14" s="15"/>
      <c r="F14" s="53"/>
      <c r="G14" s="53"/>
      <c r="H14" s="55"/>
      <c r="I14" s="30">
        <f t="shared" si="1"/>
        <v>0</v>
      </c>
      <c r="J14" s="15"/>
      <c r="K14" s="15"/>
      <c r="L14" s="15"/>
      <c r="M14" s="15"/>
      <c r="N14" s="7"/>
      <c r="O14" s="67"/>
      <c r="Q14" s="41">
        <v>3500</v>
      </c>
      <c r="R14" s="42">
        <f>SUMIF(G3:G42,Q14,G3:G42)</f>
        <v>0</v>
      </c>
      <c r="S14" s="73"/>
      <c r="T14" s="82" t="s">
        <v>11</v>
      </c>
      <c r="U14" s="59">
        <v>60</v>
      </c>
      <c r="V14" s="36" t="s">
        <v>33</v>
      </c>
      <c r="W14" s="23" t="s">
        <v>56</v>
      </c>
      <c r="AA14" s="136">
        <v>11</v>
      </c>
      <c r="AB14" s="137">
        <f t="shared" si="0"/>
        <v>11</v>
      </c>
      <c r="AH14" s="25" t="s">
        <v>10</v>
      </c>
      <c r="AI14" s="45"/>
      <c r="AK14" s="2" t="s">
        <v>25</v>
      </c>
      <c r="AM14" s="12" t="s">
        <v>38</v>
      </c>
    </row>
    <row r="15" spans="1:40" ht="19.5" thickBot="1" x14ac:dyDescent="0.45">
      <c r="A15" s="143">
        <v>13</v>
      </c>
      <c r="B15" s="7"/>
      <c r="C15" s="4"/>
      <c r="D15" s="4"/>
      <c r="E15" s="15"/>
      <c r="F15" s="53"/>
      <c r="G15" s="53"/>
      <c r="H15" s="55"/>
      <c r="I15" s="30">
        <f t="shared" si="1"/>
        <v>0</v>
      </c>
      <c r="J15" s="15"/>
      <c r="K15" s="15"/>
      <c r="L15" s="15"/>
      <c r="M15" s="15"/>
      <c r="N15" s="7"/>
      <c r="O15" s="67"/>
      <c r="Q15" s="41">
        <v>7000</v>
      </c>
      <c r="R15" s="42">
        <f>SUMIF(G3:G42,Q15,G3:G42)</f>
        <v>0</v>
      </c>
      <c r="S15" s="73"/>
      <c r="T15" s="5">
        <f>COUNTIF(D3:D42,T14)</f>
        <v>0</v>
      </c>
      <c r="U15" s="5">
        <f>COUNTIF(E3:E42,U14)</f>
        <v>0</v>
      </c>
      <c r="V15" s="5">
        <f>COUNTIF(L3:L42,AM9)</f>
        <v>0</v>
      </c>
      <c r="W15" s="5">
        <f>COUNTIF(M3:M42,W14)</f>
        <v>0</v>
      </c>
      <c r="AA15" s="136">
        <v>12</v>
      </c>
      <c r="AB15" s="137">
        <f t="shared" si="0"/>
        <v>12</v>
      </c>
      <c r="AH15" s="5">
        <v>1750</v>
      </c>
      <c r="AI15" s="45"/>
      <c r="AM15" s="8" t="s">
        <v>39</v>
      </c>
    </row>
    <row r="16" spans="1:40" ht="19.5" thickBot="1" x14ac:dyDescent="0.45">
      <c r="A16" s="143">
        <v>14</v>
      </c>
      <c r="B16" s="7"/>
      <c r="C16" s="4"/>
      <c r="D16" s="4"/>
      <c r="E16" s="15"/>
      <c r="F16" s="53"/>
      <c r="G16" s="53"/>
      <c r="H16" s="55"/>
      <c r="I16" s="30">
        <f t="shared" si="1"/>
        <v>0</v>
      </c>
      <c r="J16" s="15"/>
      <c r="K16" s="15"/>
      <c r="L16" s="15"/>
      <c r="M16" s="15"/>
      <c r="N16" s="7"/>
      <c r="O16" s="67"/>
      <c r="Q16" s="41">
        <v>10000</v>
      </c>
      <c r="R16" s="42">
        <f>SUMIF(G3:G42,Q16,G3:G42)</f>
        <v>0</v>
      </c>
      <c r="S16" s="73"/>
      <c r="T16" s="82" t="s">
        <v>65</v>
      </c>
      <c r="U16" s="59">
        <v>90</v>
      </c>
      <c r="V16" s="35" t="s">
        <v>34</v>
      </c>
      <c r="W16" s="23" t="s">
        <v>27</v>
      </c>
      <c r="AA16" s="136">
        <v>13</v>
      </c>
      <c r="AB16" s="137">
        <f t="shared" si="0"/>
        <v>13</v>
      </c>
      <c r="AH16" s="5">
        <v>3500</v>
      </c>
      <c r="AI16" s="45"/>
      <c r="AM16" s="6" t="s">
        <v>40</v>
      </c>
    </row>
    <row r="17" spans="1:39" ht="19.5" thickBot="1" x14ac:dyDescent="0.45">
      <c r="A17" s="143">
        <v>15</v>
      </c>
      <c r="B17" s="7"/>
      <c r="C17" s="4"/>
      <c r="D17" s="4"/>
      <c r="E17" s="15"/>
      <c r="F17" s="53"/>
      <c r="G17" s="53"/>
      <c r="H17" s="55"/>
      <c r="I17" s="30">
        <f t="shared" si="1"/>
        <v>0</v>
      </c>
      <c r="J17" s="15"/>
      <c r="K17" s="15"/>
      <c r="L17" s="15"/>
      <c r="M17" s="15"/>
      <c r="N17" s="7"/>
      <c r="O17" s="67"/>
      <c r="Q17" s="41">
        <v>4000</v>
      </c>
      <c r="R17" s="42">
        <f>SUMIF(G3:G42,Q17,G3:G42)</f>
        <v>0</v>
      </c>
      <c r="S17" s="73"/>
      <c r="T17" s="5">
        <f>COUNTIF(G3:G42,AH13)</f>
        <v>0</v>
      </c>
      <c r="U17" s="5">
        <f>COUNTIF(E3:E42,U16)</f>
        <v>0</v>
      </c>
      <c r="V17" s="5">
        <f>COUNTIF(L3:L42,AM10)</f>
        <v>0</v>
      </c>
      <c r="W17" s="5">
        <f>COUNTIF(M3:M42,W16)</f>
        <v>0</v>
      </c>
      <c r="AA17" s="136">
        <v>14</v>
      </c>
      <c r="AB17" s="137">
        <f t="shared" si="0"/>
        <v>14</v>
      </c>
      <c r="AH17" s="5">
        <v>7000</v>
      </c>
      <c r="AI17" s="46"/>
      <c r="AM17" s="13" t="s">
        <v>41</v>
      </c>
    </row>
    <row r="18" spans="1:39" ht="19.5" thickBot="1" x14ac:dyDescent="0.45">
      <c r="A18" s="143">
        <v>16</v>
      </c>
      <c r="B18" s="7"/>
      <c r="C18" s="4"/>
      <c r="D18" s="4"/>
      <c r="E18" s="15"/>
      <c r="F18" s="53"/>
      <c r="G18" s="53"/>
      <c r="H18" s="55"/>
      <c r="I18" s="30">
        <f t="shared" si="1"/>
        <v>0</v>
      </c>
      <c r="J18" s="15"/>
      <c r="K18" s="15"/>
      <c r="L18" s="15"/>
      <c r="M18" s="15"/>
      <c r="N18" s="7"/>
      <c r="O18" s="67"/>
      <c r="Q18" s="41">
        <v>8000</v>
      </c>
      <c r="R18" s="42">
        <f>SUMIF(G3:G42,Q18,G3:G42)</f>
        <v>0</v>
      </c>
      <c r="S18" s="73"/>
      <c r="V18" s="35" t="s">
        <v>35</v>
      </c>
      <c r="W18" s="23" t="s">
        <v>57</v>
      </c>
      <c r="AA18" s="136">
        <v>15</v>
      </c>
      <c r="AB18" s="137">
        <f t="shared" si="0"/>
        <v>15</v>
      </c>
      <c r="AH18" s="5">
        <v>10000</v>
      </c>
      <c r="AI18" s="45"/>
      <c r="AM18" s="8" t="s">
        <v>42</v>
      </c>
    </row>
    <row r="19" spans="1:39" ht="19.5" thickBot="1" x14ac:dyDescent="0.45">
      <c r="A19" s="143">
        <v>17</v>
      </c>
      <c r="B19" s="7"/>
      <c r="C19" s="4"/>
      <c r="D19" s="4"/>
      <c r="E19" s="15"/>
      <c r="F19" s="53"/>
      <c r="G19" s="53"/>
      <c r="H19" s="55"/>
      <c r="I19" s="30">
        <f t="shared" si="1"/>
        <v>0</v>
      </c>
      <c r="J19" s="15"/>
      <c r="K19" s="15"/>
      <c r="L19" s="15"/>
      <c r="M19" s="15"/>
      <c r="N19" s="7"/>
      <c r="O19" s="67"/>
      <c r="Q19" s="41">
        <v>11000</v>
      </c>
      <c r="R19" s="42">
        <f>SUMIF(G3:G42,Q19,G3:G42)</f>
        <v>0</v>
      </c>
      <c r="S19" s="73"/>
      <c r="U19" s="116" t="s">
        <v>91</v>
      </c>
      <c r="V19" s="5">
        <f>COUNTIF(L3:L42,AM11)</f>
        <v>0</v>
      </c>
      <c r="W19" s="5">
        <f>COUNTIF(M3:M42,W18)</f>
        <v>0</v>
      </c>
      <c r="AA19" s="136">
        <v>16</v>
      </c>
      <c r="AB19" s="137">
        <f t="shared" si="0"/>
        <v>16</v>
      </c>
      <c r="AH19" s="27" t="s">
        <v>15</v>
      </c>
      <c r="AI19" s="45"/>
      <c r="AM19" s="8" t="s">
        <v>43</v>
      </c>
    </row>
    <row r="20" spans="1:39" ht="19.5" thickBot="1" x14ac:dyDescent="0.45">
      <c r="A20" s="143">
        <v>18</v>
      </c>
      <c r="B20" s="7"/>
      <c r="C20" s="4"/>
      <c r="D20" s="4"/>
      <c r="E20" s="15"/>
      <c r="F20" s="53"/>
      <c r="G20" s="53"/>
      <c r="H20" s="55"/>
      <c r="I20" s="30">
        <f t="shared" si="1"/>
        <v>0</v>
      </c>
      <c r="J20" s="15"/>
      <c r="K20" s="15"/>
      <c r="L20" s="15"/>
      <c r="M20" s="15"/>
      <c r="N20" s="7"/>
      <c r="O20" s="67"/>
      <c r="Q20" s="41">
        <v>2500</v>
      </c>
      <c r="R20" s="42">
        <f>SUMIF(G3:G42,Q20,G3:G42)</f>
        <v>0</v>
      </c>
      <c r="S20" s="73"/>
      <c r="U20" s="5">
        <f>SUM(T5,U7)</f>
        <v>0</v>
      </c>
      <c r="V20" s="36" t="s">
        <v>39</v>
      </c>
      <c r="W20" s="23" t="s">
        <v>28</v>
      </c>
      <c r="AA20" s="136">
        <v>17</v>
      </c>
      <c r="AB20" s="137">
        <f t="shared" si="0"/>
        <v>17</v>
      </c>
      <c r="AH20" s="5">
        <v>4000</v>
      </c>
      <c r="AI20" s="45"/>
    </row>
    <row r="21" spans="1:39" ht="19.5" thickBot="1" x14ac:dyDescent="0.45">
      <c r="A21" s="143">
        <v>19</v>
      </c>
      <c r="B21" s="7"/>
      <c r="C21" s="4"/>
      <c r="D21" s="4"/>
      <c r="E21" s="15"/>
      <c r="F21" s="53"/>
      <c r="G21" s="53"/>
      <c r="H21" s="55"/>
      <c r="I21" s="30">
        <f t="shared" si="1"/>
        <v>0</v>
      </c>
      <c r="J21" s="15"/>
      <c r="K21" s="15"/>
      <c r="L21" s="15"/>
      <c r="M21" s="15"/>
      <c r="N21" s="7"/>
      <c r="O21" s="67"/>
      <c r="Q21" s="41">
        <v>4500</v>
      </c>
      <c r="R21" s="42">
        <f>SUMIF(G3:G42,Q21,G3:G42)</f>
        <v>0</v>
      </c>
      <c r="S21" s="73"/>
      <c r="U21" s="116" t="s">
        <v>92</v>
      </c>
      <c r="V21" s="5">
        <f>COUNTIF(L3:L42,AM15)</f>
        <v>0</v>
      </c>
      <c r="W21" s="5">
        <f>COUNTIF(M3:M42,W20)</f>
        <v>0</v>
      </c>
      <c r="AA21" s="136">
        <v>18</v>
      </c>
      <c r="AB21" s="137">
        <f t="shared" si="0"/>
        <v>18</v>
      </c>
      <c r="AH21" s="5">
        <v>8000</v>
      </c>
      <c r="AI21" s="47"/>
    </row>
    <row r="22" spans="1:39" ht="19.5" thickBot="1" x14ac:dyDescent="0.45">
      <c r="A22" s="143">
        <v>20</v>
      </c>
      <c r="B22" s="7"/>
      <c r="C22" s="4"/>
      <c r="D22" s="4"/>
      <c r="E22" s="15"/>
      <c r="F22" s="53"/>
      <c r="G22" s="53"/>
      <c r="H22" s="55"/>
      <c r="I22" s="30">
        <f t="shared" si="1"/>
        <v>0</v>
      </c>
      <c r="J22" s="15"/>
      <c r="K22" s="15"/>
      <c r="L22" s="15"/>
      <c r="M22" s="15"/>
      <c r="N22" s="7"/>
      <c r="O22" s="67"/>
      <c r="Q22" s="41">
        <v>1501</v>
      </c>
      <c r="R22" s="42">
        <f>SUMIF(G3:G42,Q22,G3:G42)</f>
        <v>0</v>
      </c>
      <c r="S22" s="73"/>
      <c r="U22" s="5">
        <f>SUM(U5,U9)</f>
        <v>0</v>
      </c>
      <c r="V22" s="36" t="s">
        <v>36</v>
      </c>
      <c r="W22" s="37" t="s">
        <v>29</v>
      </c>
      <c r="AA22" s="136">
        <v>19</v>
      </c>
      <c r="AB22" s="137">
        <f t="shared" si="0"/>
        <v>19</v>
      </c>
      <c r="AH22" s="5">
        <v>11000</v>
      </c>
      <c r="AI22" s="45"/>
    </row>
    <row r="23" spans="1:39" ht="19.5" thickBot="1" x14ac:dyDescent="0.45">
      <c r="A23" s="143">
        <v>21</v>
      </c>
      <c r="B23" s="7"/>
      <c r="C23" s="4"/>
      <c r="D23" s="4"/>
      <c r="E23" s="15"/>
      <c r="F23" s="53"/>
      <c r="G23" s="53"/>
      <c r="H23" s="55"/>
      <c r="I23" s="30">
        <f t="shared" si="1"/>
        <v>0</v>
      </c>
      <c r="J23" s="15"/>
      <c r="K23" s="15"/>
      <c r="L23" s="15"/>
      <c r="M23" s="15"/>
      <c r="N23" s="7"/>
      <c r="O23" s="67"/>
      <c r="Q23" s="41">
        <v>3000</v>
      </c>
      <c r="R23" s="42">
        <f>SUMIF(G3:G42,Q23,G3:G42)</f>
        <v>0</v>
      </c>
      <c r="S23" s="73"/>
      <c r="U23" s="116" t="s">
        <v>93</v>
      </c>
      <c r="V23" s="5">
        <f>COUNTIF(L3:L42,AM12)</f>
        <v>0</v>
      </c>
      <c r="W23" s="10">
        <f>COUNTIF(M3:M42,W22)</f>
        <v>0</v>
      </c>
      <c r="AA23" s="136">
        <v>20</v>
      </c>
      <c r="AB23" s="137">
        <f t="shared" si="0"/>
        <v>20</v>
      </c>
      <c r="AH23" s="28" t="s">
        <v>12</v>
      </c>
      <c r="AI23" s="45"/>
    </row>
    <row r="24" spans="1:39" ht="19.5" thickBot="1" x14ac:dyDescent="0.45">
      <c r="A24" s="143">
        <v>22</v>
      </c>
      <c r="B24" s="7"/>
      <c r="C24" s="4"/>
      <c r="D24" s="4"/>
      <c r="E24" s="15"/>
      <c r="F24" s="53"/>
      <c r="G24" s="53"/>
      <c r="H24" s="55"/>
      <c r="I24" s="30">
        <f t="shared" si="1"/>
        <v>0</v>
      </c>
      <c r="J24" s="15"/>
      <c r="K24" s="15"/>
      <c r="L24" s="15"/>
      <c r="M24" s="15"/>
      <c r="N24" s="7"/>
      <c r="O24" s="67"/>
      <c r="Q24" s="41">
        <v>4000</v>
      </c>
      <c r="R24" s="42">
        <f>SUMIF(G3:G42,Q24,G3:G42)</f>
        <v>0</v>
      </c>
      <c r="S24" s="73"/>
      <c r="U24" s="5">
        <f>SUM(U13,U15,U17)</f>
        <v>0</v>
      </c>
      <c r="V24" s="36" t="s">
        <v>37</v>
      </c>
      <c r="W24" s="37" t="s">
        <v>58</v>
      </c>
      <c r="AA24" s="136">
        <v>21</v>
      </c>
      <c r="AB24" s="137">
        <f t="shared" si="0"/>
        <v>21</v>
      </c>
      <c r="AH24" s="5">
        <v>2500</v>
      </c>
      <c r="AI24" s="48"/>
    </row>
    <row r="25" spans="1:39" ht="19.5" thickBot="1" x14ac:dyDescent="0.45">
      <c r="A25" s="143">
        <v>23</v>
      </c>
      <c r="B25" s="7"/>
      <c r="C25" s="4"/>
      <c r="D25" s="4"/>
      <c r="E25" s="15"/>
      <c r="F25" s="53"/>
      <c r="G25" s="53"/>
      <c r="H25" s="55"/>
      <c r="I25" s="30">
        <f t="shared" si="1"/>
        <v>0</v>
      </c>
      <c r="J25" s="15"/>
      <c r="K25" s="15"/>
      <c r="L25" s="15"/>
      <c r="M25" s="15"/>
      <c r="N25" s="7"/>
      <c r="O25" s="67"/>
      <c r="Q25" s="43" t="s">
        <v>48</v>
      </c>
      <c r="R25" s="41">
        <f>SUM(R12:R24)</f>
        <v>0</v>
      </c>
      <c r="S25" s="64"/>
      <c r="V25" s="5">
        <f>COUNTIF(L3:L42,AM13)</f>
        <v>0</v>
      </c>
      <c r="W25" s="10">
        <f>COUNTIF(M3:M42,W24)</f>
        <v>0</v>
      </c>
      <c r="AA25" s="136">
        <v>22</v>
      </c>
      <c r="AB25" s="137">
        <f t="shared" si="0"/>
        <v>22</v>
      </c>
      <c r="AH25" s="5">
        <v>4500</v>
      </c>
      <c r="AI25" s="45"/>
    </row>
    <row r="26" spans="1:39" ht="19.5" thickBot="1" x14ac:dyDescent="0.45">
      <c r="A26" s="143">
        <v>24</v>
      </c>
      <c r="B26" s="7"/>
      <c r="C26" s="4"/>
      <c r="D26" s="4"/>
      <c r="E26" s="15"/>
      <c r="F26" s="53"/>
      <c r="G26" s="53"/>
      <c r="H26" s="55"/>
      <c r="I26" s="30">
        <f t="shared" si="1"/>
        <v>0</v>
      </c>
      <c r="J26" s="15"/>
      <c r="K26" s="15"/>
      <c r="L26" s="15"/>
      <c r="M26" s="15"/>
      <c r="N26" s="7"/>
      <c r="O26" s="67"/>
      <c r="V26" s="36" t="s">
        <v>38</v>
      </c>
      <c r="AA26" s="136">
        <v>23</v>
      </c>
      <c r="AB26" s="137">
        <f t="shared" si="0"/>
        <v>23</v>
      </c>
      <c r="AH26" s="29" t="s">
        <v>13</v>
      </c>
      <c r="AI26" s="45"/>
    </row>
    <row r="27" spans="1:39" ht="19.5" thickBot="1" x14ac:dyDescent="0.45">
      <c r="A27" s="143">
        <v>25</v>
      </c>
      <c r="B27" s="7"/>
      <c r="C27" s="4"/>
      <c r="D27" s="4"/>
      <c r="E27" s="15"/>
      <c r="F27" s="53"/>
      <c r="G27" s="53"/>
      <c r="H27" s="55"/>
      <c r="I27" s="30">
        <f t="shared" si="1"/>
        <v>0</v>
      </c>
      <c r="J27" s="15"/>
      <c r="K27" s="15"/>
      <c r="L27" s="15"/>
      <c r="M27" s="15"/>
      <c r="N27" s="7"/>
      <c r="O27" s="67"/>
      <c r="Q27" s="51" t="s">
        <v>46</v>
      </c>
      <c r="V27" s="5">
        <f>COUNTIF(L3:L42,AM14)</f>
        <v>0</v>
      </c>
      <c r="AA27" s="136">
        <v>24</v>
      </c>
      <c r="AB27" s="137">
        <f t="shared" si="0"/>
        <v>24</v>
      </c>
      <c r="AH27" s="5">
        <v>1501</v>
      </c>
      <c r="AI27" s="14"/>
    </row>
    <row r="28" spans="1:39" ht="19.5" thickBot="1" x14ac:dyDescent="0.45">
      <c r="A28" s="143">
        <v>26</v>
      </c>
      <c r="B28" s="7"/>
      <c r="C28" s="4"/>
      <c r="D28" s="4"/>
      <c r="E28" s="15"/>
      <c r="F28" s="53"/>
      <c r="G28" s="53"/>
      <c r="H28" s="55"/>
      <c r="I28" s="30">
        <f t="shared" si="1"/>
        <v>0</v>
      </c>
      <c r="J28" s="15"/>
      <c r="K28" s="15"/>
      <c r="L28" s="15"/>
      <c r="M28" s="15"/>
      <c r="N28" s="7"/>
      <c r="O28" s="67"/>
      <c r="Q28" s="41">
        <v>300</v>
      </c>
      <c r="R28" s="42">
        <f>SUMIF(H3:H42,Q28,H3:H42)</f>
        <v>0</v>
      </c>
      <c r="S28" s="73"/>
      <c r="V28" s="38" t="s">
        <v>40</v>
      </c>
      <c r="AA28" s="136">
        <v>25</v>
      </c>
      <c r="AB28" s="137">
        <f t="shared" si="0"/>
        <v>25</v>
      </c>
      <c r="AH28" s="25" t="s">
        <v>11</v>
      </c>
      <c r="AI28" s="14"/>
    </row>
    <row r="29" spans="1:39" ht="19.5" thickBot="1" x14ac:dyDescent="0.45">
      <c r="A29" s="143">
        <v>27</v>
      </c>
      <c r="B29" s="7"/>
      <c r="C29" s="4"/>
      <c r="D29" s="4"/>
      <c r="E29" s="15"/>
      <c r="F29" s="53"/>
      <c r="G29" s="53"/>
      <c r="H29" s="55"/>
      <c r="I29" s="30">
        <f t="shared" si="1"/>
        <v>0</v>
      </c>
      <c r="J29" s="15"/>
      <c r="K29" s="15"/>
      <c r="L29" s="15"/>
      <c r="M29" s="15"/>
      <c r="N29" s="7"/>
      <c r="O29" s="67"/>
      <c r="Q29" s="41">
        <v>500</v>
      </c>
      <c r="R29" s="42">
        <f>SUMIF(H3:H42,Q29,H3:H42)</f>
        <v>0</v>
      </c>
      <c r="S29" s="73"/>
      <c r="V29" s="5">
        <f>COUNTIF(L3:L42,AM16)</f>
        <v>0</v>
      </c>
      <c r="AA29" s="136">
        <v>26</v>
      </c>
      <c r="AB29" s="137">
        <f t="shared" si="0"/>
        <v>26</v>
      </c>
      <c r="AH29" s="5">
        <v>3000</v>
      </c>
    </row>
    <row r="30" spans="1:39" ht="19.5" thickBot="1" x14ac:dyDescent="0.45">
      <c r="A30" s="143">
        <v>28</v>
      </c>
      <c r="B30" s="7"/>
      <c r="C30" s="4"/>
      <c r="D30" s="4"/>
      <c r="E30" s="15"/>
      <c r="F30" s="53"/>
      <c r="G30" s="53"/>
      <c r="H30" s="31"/>
      <c r="I30" s="30">
        <f t="shared" si="1"/>
        <v>0</v>
      </c>
      <c r="J30" s="15"/>
      <c r="K30" s="15"/>
      <c r="L30" s="15"/>
      <c r="M30" s="15"/>
      <c r="N30" s="7"/>
      <c r="O30" s="67"/>
      <c r="Q30" s="41">
        <v>800</v>
      </c>
      <c r="R30" s="42">
        <f>SUMIF(H3:H42,Q30,H3:H42)</f>
        <v>0</v>
      </c>
      <c r="S30" s="73"/>
      <c r="V30" s="39" t="s">
        <v>41</v>
      </c>
      <c r="AA30" s="136">
        <v>27</v>
      </c>
      <c r="AB30" s="137">
        <f t="shared" si="0"/>
        <v>27</v>
      </c>
      <c r="AH30" s="5">
        <v>4000</v>
      </c>
    </row>
    <row r="31" spans="1:39" ht="19.5" thickBot="1" x14ac:dyDescent="0.45">
      <c r="A31" s="143">
        <v>29</v>
      </c>
      <c r="B31" s="7"/>
      <c r="C31" s="4"/>
      <c r="D31" s="4"/>
      <c r="E31" s="15"/>
      <c r="F31" s="53"/>
      <c r="G31" s="53"/>
      <c r="H31" s="31"/>
      <c r="I31" s="30">
        <f t="shared" si="1"/>
        <v>0</v>
      </c>
      <c r="J31" s="15"/>
      <c r="K31" s="15"/>
      <c r="L31" s="15"/>
      <c r="M31" s="15"/>
      <c r="N31" s="7"/>
      <c r="O31" s="67"/>
      <c r="Q31" s="43" t="s">
        <v>48</v>
      </c>
      <c r="R31" s="41">
        <f>SUM(R28:R30)</f>
        <v>0</v>
      </c>
      <c r="S31" s="64"/>
      <c r="V31" s="5">
        <f>COUNTIF(L3:L42,AM17)</f>
        <v>0</v>
      </c>
      <c r="AA31" s="136">
        <v>28</v>
      </c>
      <c r="AB31" s="137">
        <f t="shared" si="0"/>
        <v>28</v>
      </c>
    </row>
    <row r="32" spans="1:39" ht="19.5" thickBot="1" x14ac:dyDescent="0.45">
      <c r="A32" s="143">
        <v>30</v>
      </c>
      <c r="B32" s="7"/>
      <c r="C32" s="4"/>
      <c r="D32" s="4"/>
      <c r="E32" s="15"/>
      <c r="F32" s="53"/>
      <c r="G32" s="53"/>
      <c r="H32" s="31"/>
      <c r="I32" s="30">
        <f t="shared" si="1"/>
        <v>0</v>
      </c>
      <c r="J32" s="15"/>
      <c r="K32" s="15"/>
      <c r="L32" s="15"/>
      <c r="M32" s="15"/>
      <c r="N32" s="7"/>
      <c r="O32" s="67"/>
      <c r="V32" s="36" t="s">
        <v>42</v>
      </c>
      <c r="AA32" s="136">
        <v>29</v>
      </c>
      <c r="AB32" s="137">
        <f t="shared" si="0"/>
        <v>29</v>
      </c>
    </row>
    <row r="33" spans="1:28" ht="19.5" thickBot="1" x14ac:dyDescent="0.45">
      <c r="A33" s="143">
        <v>31</v>
      </c>
      <c r="B33" s="7"/>
      <c r="C33" s="4"/>
      <c r="D33" s="4"/>
      <c r="E33" s="15"/>
      <c r="F33" s="53"/>
      <c r="G33" s="53"/>
      <c r="H33" s="31"/>
      <c r="I33" s="30">
        <f t="shared" si="1"/>
        <v>0</v>
      </c>
      <c r="J33" s="15"/>
      <c r="K33" s="15"/>
      <c r="L33" s="15"/>
      <c r="M33" s="15"/>
      <c r="N33" s="7"/>
      <c r="O33" s="67"/>
      <c r="V33" s="5">
        <f>COUNTIF(L3:L42,AM18)</f>
        <v>0</v>
      </c>
      <c r="AA33" s="136">
        <v>30</v>
      </c>
      <c r="AB33" s="137">
        <f t="shared" si="0"/>
        <v>30</v>
      </c>
    </row>
    <row r="34" spans="1:28" ht="19.5" thickBot="1" x14ac:dyDescent="0.45">
      <c r="A34" s="143">
        <v>32</v>
      </c>
      <c r="B34" s="7"/>
      <c r="C34" s="4"/>
      <c r="D34" s="4"/>
      <c r="E34" s="15"/>
      <c r="F34" s="53"/>
      <c r="G34" s="53"/>
      <c r="H34" s="31"/>
      <c r="I34" s="30">
        <f t="shared" si="1"/>
        <v>0</v>
      </c>
      <c r="J34" s="15"/>
      <c r="K34" s="15"/>
      <c r="L34" s="15"/>
      <c r="M34" s="15"/>
      <c r="N34" s="7"/>
      <c r="O34" s="67"/>
      <c r="V34" s="36" t="s">
        <v>43</v>
      </c>
      <c r="AA34" s="136">
        <v>31</v>
      </c>
      <c r="AB34" s="137">
        <f t="shared" si="0"/>
        <v>31</v>
      </c>
    </row>
    <row r="35" spans="1:28" ht="19.5" thickBot="1" x14ac:dyDescent="0.45">
      <c r="A35" s="143">
        <v>33</v>
      </c>
      <c r="B35" s="7"/>
      <c r="C35" s="4"/>
      <c r="D35" s="4"/>
      <c r="E35" s="15"/>
      <c r="F35" s="53"/>
      <c r="G35" s="53"/>
      <c r="H35" s="31"/>
      <c r="I35" s="30">
        <f t="shared" si="1"/>
        <v>0</v>
      </c>
      <c r="J35" s="15"/>
      <c r="K35" s="15"/>
      <c r="L35" s="15"/>
      <c r="M35" s="15"/>
      <c r="N35" s="7"/>
      <c r="O35" s="67"/>
      <c r="Q35" s="1" t="s">
        <v>49</v>
      </c>
      <c r="R35" s="1"/>
      <c r="S35" s="14"/>
      <c r="V35" s="5">
        <f>COUNTIF(L3:L42,AM19)</f>
        <v>0</v>
      </c>
    </row>
    <row r="36" spans="1:28" ht="19.5" thickBot="1" x14ac:dyDescent="0.45">
      <c r="A36" s="143">
        <v>34</v>
      </c>
      <c r="B36" s="7"/>
      <c r="C36" s="4"/>
      <c r="D36" s="4"/>
      <c r="E36" s="15"/>
      <c r="F36" s="53"/>
      <c r="G36" s="53"/>
      <c r="H36" s="31"/>
      <c r="I36" s="30">
        <f t="shared" si="1"/>
        <v>0</v>
      </c>
      <c r="J36" s="15"/>
      <c r="K36" s="15"/>
      <c r="L36" s="15"/>
      <c r="M36" s="15"/>
      <c r="N36" s="7"/>
      <c r="O36" s="67"/>
      <c r="Q36" s="1" t="s">
        <v>9</v>
      </c>
      <c r="R36" s="20">
        <f>COUNTIF(D3:D42,Q36)</f>
        <v>0</v>
      </c>
      <c r="S36" s="14"/>
    </row>
    <row r="37" spans="1:28" ht="19.5" thickBot="1" x14ac:dyDescent="0.45">
      <c r="A37" s="143">
        <v>35</v>
      </c>
      <c r="B37" s="7"/>
      <c r="C37" s="4"/>
      <c r="D37" s="4"/>
      <c r="E37" s="15"/>
      <c r="F37" s="53"/>
      <c r="G37" s="53"/>
      <c r="H37" s="31"/>
      <c r="I37" s="30">
        <f t="shared" si="1"/>
        <v>0</v>
      </c>
      <c r="J37" s="15"/>
      <c r="K37" s="15"/>
      <c r="L37" s="15"/>
      <c r="M37" s="15"/>
      <c r="N37" s="7"/>
      <c r="O37" s="67"/>
      <c r="Q37" s="22" t="s">
        <v>61</v>
      </c>
      <c r="R37" s="30">
        <f>SUM(R3:R8)</f>
        <v>0</v>
      </c>
      <c r="S37" s="65"/>
    </row>
    <row r="38" spans="1:28" ht="19.5" thickBot="1" x14ac:dyDescent="0.45">
      <c r="A38" s="143">
        <v>36</v>
      </c>
      <c r="B38" s="7"/>
      <c r="C38" s="4"/>
      <c r="D38" s="4"/>
      <c r="E38" s="15"/>
      <c r="F38" s="53"/>
      <c r="G38" s="53"/>
      <c r="H38" s="31"/>
      <c r="I38" s="30">
        <f t="shared" si="1"/>
        <v>0</v>
      </c>
      <c r="J38" s="15"/>
      <c r="K38" s="15"/>
      <c r="L38" s="15"/>
      <c r="M38" s="15"/>
      <c r="N38" s="7"/>
      <c r="O38" s="67"/>
      <c r="Q38" s="1" t="s">
        <v>50</v>
      </c>
      <c r="R38" s="21">
        <f>R35-R36</f>
        <v>0</v>
      </c>
      <c r="S38" s="14"/>
    </row>
    <row r="39" spans="1:28" ht="19.5" thickBot="1" x14ac:dyDescent="0.45">
      <c r="A39" s="143">
        <v>37</v>
      </c>
      <c r="B39" s="7"/>
      <c r="C39" s="4"/>
      <c r="D39" s="4"/>
      <c r="E39" s="15"/>
      <c r="F39" s="53"/>
      <c r="G39" s="53"/>
      <c r="H39" s="31"/>
      <c r="I39" s="30">
        <f t="shared" si="1"/>
        <v>0</v>
      </c>
      <c r="J39" s="15"/>
      <c r="K39" s="15"/>
      <c r="L39" s="15"/>
      <c r="M39" s="15"/>
      <c r="N39" s="7"/>
      <c r="O39" s="67"/>
      <c r="Q39" s="1" t="s">
        <v>62</v>
      </c>
      <c r="R39" s="31">
        <f>SUM(R25,R31)</f>
        <v>0</v>
      </c>
      <c r="S39" s="65"/>
    </row>
    <row r="40" spans="1:28" ht="19.5" thickBot="1" x14ac:dyDescent="0.45">
      <c r="A40" s="143">
        <v>38</v>
      </c>
      <c r="B40" s="7"/>
      <c r="C40" s="4"/>
      <c r="D40" s="4"/>
      <c r="E40" s="15"/>
      <c r="F40" s="53"/>
      <c r="G40" s="53"/>
      <c r="H40" s="31"/>
      <c r="I40" s="30">
        <f t="shared" si="1"/>
        <v>0</v>
      </c>
      <c r="J40" s="15"/>
      <c r="K40" s="15"/>
      <c r="L40" s="15"/>
      <c r="M40" s="15"/>
      <c r="N40" s="7"/>
      <c r="O40" s="67"/>
      <c r="Q40" s="1" t="s">
        <v>51</v>
      </c>
      <c r="R40" s="30">
        <f>(R42-R41)</f>
        <v>0</v>
      </c>
      <c r="S40" s="65"/>
    </row>
    <row r="41" spans="1:28" ht="19.5" thickBot="1" x14ac:dyDescent="0.45">
      <c r="A41" s="143">
        <v>39</v>
      </c>
      <c r="B41" s="7"/>
      <c r="C41" s="4"/>
      <c r="D41" s="4"/>
      <c r="E41" s="15"/>
      <c r="F41" s="53"/>
      <c r="G41" s="54"/>
      <c r="H41" s="32"/>
      <c r="I41" s="30">
        <f t="shared" si="1"/>
        <v>0</v>
      </c>
      <c r="J41" s="15"/>
      <c r="K41" s="15"/>
      <c r="L41" s="15"/>
      <c r="M41" s="15"/>
      <c r="N41" s="7"/>
      <c r="O41" s="67"/>
      <c r="Q41" s="68" t="s">
        <v>71</v>
      </c>
      <c r="R41" s="30">
        <f>SUMIFS(I3:I42,J3:J42,AJ4)</f>
        <v>0</v>
      </c>
      <c r="S41" s="65"/>
    </row>
    <row r="42" spans="1:28" ht="19.5" thickBot="1" x14ac:dyDescent="0.45">
      <c r="A42" s="143">
        <v>40</v>
      </c>
      <c r="B42" s="7"/>
      <c r="C42" s="4"/>
      <c r="D42" s="4"/>
      <c r="E42" s="15"/>
      <c r="F42" s="53"/>
      <c r="G42" s="54"/>
      <c r="H42" s="32"/>
      <c r="I42" s="30">
        <f t="shared" si="1"/>
        <v>0</v>
      </c>
      <c r="J42" s="15"/>
      <c r="K42" s="15"/>
      <c r="L42" s="15"/>
      <c r="M42" s="15"/>
      <c r="N42" s="7"/>
      <c r="O42" s="67"/>
      <c r="Q42" s="69" t="s">
        <v>52</v>
      </c>
      <c r="R42" s="70">
        <f>SUM(I3:I42)</f>
        <v>0</v>
      </c>
      <c r="S42" s="76"/>
    </row>
    <row r="43" spans="1:28" x14ac:dyDescent="0.4">
      <c r="A43" s="60"/>
      <c r="B43" s="61"/>
      <c r="C43" s="34"/>
      <c r="D43" s="34"/>
      <c r="E43" s="62"/>
      <c r="F43" s="63"/>
      <c r="G43" s="63"/>
      <c r="H43" s="64"/>
      <c r="I43" s="65"/>
      <c r="J43" s="66"/>
      <c r="K43" s="62"/>
      <c r="L43" s="62"/>
      <c r="M43" s="62"/>
      <c r="N43" s="19"/>
      <c r="O43" s="14"/>
    </row>
  </sheetData>
  <mergeCells count="1">
    <mergeCell ref="A1:B1"/>
  </mergeCells>
  <phoneticPr fontId="1"/>
  <dataValidations count="12">
    <dataValidation type="list" allowBlank="1" showInputMessage="1" showErrorMessage="1" sqref="C3:C42" xr:uid="{AE3A9984-FE5F-467E-AB62-919CB564D2B2}">
      <formula1>$AD$4:$AD$6</formula1>
    </dataValidation>
    <dataValidation type="list" allowBlank="1" showInputMessage="1" showErrorMessage="1" sqref="K3:K42" xr:uid="{D217006F-99F7-4F7E-A4F4-115698A5A066}">
      <formula1>$AG$4:$AG$5</formula1>
    </dataValidation>
    <dataValidation type="list" allowBlank="1" showInputMessage="1" showErrorMessage="1" sqref="N3:N42" xr:uid="{7D5DFF78-E095-413D-88D7-6DC578F9EBD9}">
      <formula1>$AL$4:$AL$5</formula1>
    </dataValidation>
    <dataValidation type="list" allowBlank="1" showInputMessage="1" showErrorMessage="1" sqref="L3:L42" xr:uid="{7623C231-5237-4A73-9690-1DAB6ADE4649}">
      <formula1>$AM$4:$AM$19</formula1>
    </dataValidation>
    <dataValidation type="list" allowBlank="1" showInputMessage="1" showErrorMessage="1" sqref="E3:E42" xr:uid="{5BC38C0C-7E5D-4EF2-B910-3F070CF80604}">
      <formula1>$AF$4:$AF$10</formula1>
    </dataValidation>
    <dataValidation type="list" allowBlank="1" showInputMessage="1" showErrorMessage="1" sqref="F3:F42" xr:uid="{879A7E4A-CD41-4101-9591-F7BB0401E8AD}">
      <formula1>$AH$4:$AH$11</formula1>
    </dataValidation>
    <dataValidation type="list" allowBlank="1" showInputMessage="1" showErrorMessage="1" sqref="G3:G42" xr:uid="{AA57F1E5-F52D-47C8-A970-496E40A2FCAC}">
      <formula1>$AH$12:$AH$30</formula1>
    </dataValidation>
    <dataValidation type="list" allowBlank="1" showInputMessage="1" showErrorMessage="1" sqref="H3:H42" xr:uid="{B96B9A0E-0D78-4DAD-9402-40BEFE8FE064}">
      <formula1>$AI$4:$AI$7</formula1>
    </dataValidation>
    <dataValidation type="list" allowBlank="1" showInputMessage="1" showErrorMessage="1" sqref="J3:J42" xr:uid="{94130D67-96CF-479C-A2D0-805B72BE77FD}">
      <formula1>$AJ$4:$AJ$4</formula1>
    </dataValidation>
    <dataValidation type="list" allowBlank="1" showInputMessage="1" showErrorMessage="1" sqref="D3:D42" xr:uid="{07781A28-3982-4BC3-8063-6151451D1F4B}">
      <formula1>$AE$4:$AE$10</formula1>
    </dataValidation>
    <dataValidation type="list" allowBlank="1" showInputMessage="1" showErrorMessage="1" sqref="O3:O42" xr:uid="{05D2B7B1-94B4-43E7-987A-3251ED85DEEA}">
      <formula1>$AN$4:$AN$6</formula1>
    </dataValidation>
    <dataValidation type="list" allowBlank="1" showInputMessage="1" showErrorMessage="1" sqref="M3:M42" xr:uid="{85EA6DFB-D445-443F-A37B-1047083C01E2}">
      <formula1>$AK$4:$AK$14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35</vt:i4>
      </vt:variant>
    </vt:vector>
  </HeadingPairs>
  <TitlesOfParts>
    <vt:vector size="35" baseType="lpstr">
      <vt:lpstr>目次</vt:lpstr>
      <vt:lpstr>月データ</vt:lpstr>
      <vt:lpstr>原本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19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ユーザー</dc:creator>
  <cp:lastModifiedBy>整骨院 coco</cp:lastModifiedBy>
  <cp:lastPrinted>2024-05-27T08:10:28Z</cp:lastPrinted>
  <dcterms:created xsi:type="dcterms:W3CDTF">2024-05-26T05:43:13Z</dcterms:created>
  <dcterms:modified xsi:type="dcterms:W3CDTF">2026-04-03T03:41:40Z</dcterms:modified>
</cp:coreProperties>
</file>